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 Project\PJ_20210217\Tools\Convert\"/>
    </mc:Choice>
  </mc:AlternateContent>
  <xr:revisionPtr revIDLastSave="0" documentId="13_ncr:1_{73B643C8-294D-4E17-97C8-1BCA4BAA473D}" xr6:coauthVersionLast="46" xr6:coauthVersionMax="46" xr10:uidLastSave="{00000000-0000-0000-0000-000000000000}"/>
  <bookViews>
    <workbookView xWindow="-120" yWindow="-120" windowWidth="29040" windowHeight="15840" xr2:uid="{46470C47-2B32-4C1B-BA5E-40D987D588C0}"/>
  </bookViews>
  <sheets>
    <sheet name="notification_condition" sheetId="1" r:id="rId1"/>
    <sheet name="_企劃用" sheetId="3" state="hidden" r:id="rId2"/>
    <sheet name="_Setting" sheetId="2" r:id="rId3"/>
  </sheets>
  <functionGroups builtInGroupCount="19"/>
  <definedNames>
    <definedName name="cell_classAttributeListStart">_Setting!$B$9</definedName>
    <definedName name="cell_itemFlagStart">notification_condition!$B$1</definedName>
    <definedName name="cell_tableStart">notification_condition!$A$6</definedName>
    <definedName name="cell_usingDataListStart">_Setting!$B$8</definedName>
    <definedName name="param_autoEnumKeyWord">_Setting!$B$14</definedName>
    <definedName name="param_conditionAutoInitializeSwitch">_Setting!$B$24</definedName>
    <definedName name="param_conditionFileName">_Setting!$B$2</definedName>
    <definedName name="param_conditionParentClassName">_Setting!$B$10</definedName>
    <definedName name="param_conditionValuePanelSwitch">_Setting!$B$23</definedName>
    <definedName name="param_dropdownChineseSuffix">_Setting!$B$22</definedName>
    <definedName name="param_dropdownEnglishSuffix">_Setting!$B$21</definedName>
    <definedName name="param_dropdownItemsSearchKey">_Setting!$B$20</definedName>
    <definedName name="param_enumClassModify">_Setting!$B$15</definedName>
    <definedName name="param_enumClassName">_Setting!$B$16</definedName>
    <definedName name="param_enumFileName">_Setting!$B$4</definedName>
    <definedName name="param_enumInheritance">_Setting!$B$17</definedName>
    <definedName name="param_nameSpaceName">_Setting!$B$7</definedName>
    <definedName name="param_resultFileName">_Setting!$B$3</definedName>
    <definedName name="param_resultParentClassName">_Setting!$B$11</definedName>
    <definedName name="param_valuePanelSearchKey">_Setting!$B$23</definedName>
    <definedName name="range_blockParamGroup">notification_condition!$Q:$Q</definedName>
    <definedName name="range_formatParamGroup">notification_condition!$O:$O</definedName>
    <definedName name="range_itemList">_Setting!$B$26:$C$553</definedName>
    <definedName name="range_messageFormat">notification_condition!$N:$N</definedName>
    <definedName name="range_pushsParamGroup">notification_condition!$P:$P</definedName>
    <definedName name="range_refreshArea_project">_企劃用!$A$1</definedName>
    <definedName name="range_refreshArea_setting">_Setting!$B$26:$C$65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3" l="1"/>
  <c r="C2" i="3"/>
  <c r="B132" i="2"/>
  <c r="B131" i="2"/>
  <c r="B130" i="2"/>
  <c r="B129" i="2"/>
  <c r="B128" i="2"/>
  <c r="B127" i="2"/>
  <c r="B133" i="2"/>
</calcChain>
</file>

<file path=xl/sharedStrings.xml><?xml version="1.0" encoding="utf-8"?>
<sst xmlns="http://schemas.openxmlformats.org/spreadsheetml/2006/main" count="914" uniqueCount="337">
  <si>
    <t>遊戲類型</t>
    <phoneticPr fontId="1" type="noConversion"/>
  </si>
  <si>
    <t>廳別</t>
    <phoneticPr fontId="1" type="noConversion"/>
  </si>
  <si>
    <t>包含遊戲ID</t>
    <phoneticPr fontId="1" type="noConversion"/>
  </si>
  <si>
    <t>獲得卡片星等</t>
    <phoneticPr fontId="1" type="noConversion"/>
  </si>
  <si>
    <t>廣播類型</t>
    <phoneticPr fontId="1" type="noConversion"/>
  </si>
  <si>
    <t>獲得卡片卡別</t>
    <phoneticPr fontId="1" type="noConversion"/>
  </si>
  <si>
    <t>獲得碎片遊戲種類</t>
    <phoneticPr fontId="1" type="noConversion"/>
  </si>
  <si>
    <t>result</t>
    <phoneticPr fontId="1" type="noConversion"/>
  </si>
  <si>
    <t>condition</t>
    <phoneticPr fontId="1" type="noConversion"/>
  </si>
  <si>
    <t>flag</t>
    <phoneticPr fontId="1" type="noConversion"/>
  </si>
  <si>
    <t>*</t>
    <phoneticPr fontId="1" type="noConversion"/>
  </si>
  <si>
    <t>Cond_GameType</t>
    <phoneticPr fontId="1" type="noConversion"/>
  </si>
  <si>
    <t>Cond_HallType</t>
    <phoneticPr fontId="1" type="noConversion"/>
  </si>
  <si>
    <t>Cond_WinType</t>
    <phoneticPr fontId="1" type="noConversion"/>
  </si>
  <si>
    <t>Cond_Item</t>
    <phoneticPr fontId="1" type="noConversion"/>
  </si>
  <si>
    <t>Cond_Chip</t>
    <phoneticPr fontId="1" type="noConversion"/>
  </si>
  <si>
    <t>PrizePoker Game</t>
    <phoneticPr fontId="1" type="noConversion"/>
  </si>
  <si>
    <t>體驗廳</t>
    <phoneticPr fontId="1" type="noConversion"/>
  </si>
  <si>
    <t>一般廳</t>
    <phoneticPr fontId="1" type="noConversion"/>
  </si>
  <si>
    <t>高手廳</t>
    <phoneticPr fontId="1" type="noConversion"/>
  </si>
  <si>
    <t>至尊廳</t>
    <phoneticPr fontId="1" type="noConversion"/>
  </si>
  <si>
    <t>Multiplier</t>
    <phoneticPr fontId="1" type="noConversion"/>
  </si>
  <si>
    <t>FreeSpin</t>
    <phoneticPr fontId="1" type="noConversion"/>
  </si>
  <si>
    <t>BonusScatterX3</t>
    <phoneticPr fontId="1" type="noConversion"/>
  </si>
  <si>
    <t>BonusScatterX4</t>
    <phoneticPr fontId="1" type="noConversion"/>
  </si>
  <si>
    <t>BonusScatterX5</t>
    <phoneticPr fontId="1" type="noConversion"/>
  </si>
  <si>
    <t>PowerBonus</t>
    <phoneticPr fontId="1" type="noConversion"/>
  </si>
  <si>
    <t>PowerBonusPlus</t>
    <phoneticPr fontId="1" type="noConversion"/>
  </si>
  <si>
    <t>BonusScatterX2</t>
    <phoneticPr fontId="1" type="noConversion"/>
  </si>
  <si>
    <t>BonusScatterXN</t>
    <phoneticPr fontId="1" type="noConversion"/>
  </si>
  <si>
    <t>BonusRespin</t>
    <phoneticPr fontId="1" type="noConversion"/>
  </si>
  <si>
    <t>SpuerBonus</t>
    <phoneticPr fontId="1" type="noConversion"/>
  </si>
  <si>
    <t>FishingRodBonus</t>
    <phoneticPr fontId="1" type="noConversion"/>
  </si>
  <si>
    <t>None</t>
    <phoneticPr fontId="1" type="noConversion"/>
  </si>
  <si>
    <t>gameType</t>
    <phoneticPr fontId="1" type="noConversion"/>
  </si>
  <si>
    <t>CollectProduce Game</t>
    <phoneticPr fontId="1" type="noConversion"/>
  </si>
  <si>
    <t>FestivalCollection Game</t>
    <phoneticPr fontId="1" type="noConversion"/>
  </si>
  <si>
    <t>PokingLottery Game</t>
    <phoneticPr fontId="1" type="noConversion"/>
  </si>
  <si>
    <t>Pazzle Game</t>
    <phoneticPr fontId="1" type="noConversion"/>
  </si>
  <si>
    <t>TreasureChest Game</t>
    <phoneticPr fontId="1" type="noConversion"/>
  </si>
  <si>
    <t>-</t>
    <phoneticPr fontId="1" type="noConversion"/>
  </si>
  <si>
    <t>贏分倍率</t>
    <phoneticPr fontId="1" type="noConversion"/>
  </si>
  <si>
    <t>贏分值</t>
    <phoneticPr fontId="1" type="noConversion"/>
  </si>
  <si>
    <t>獲得寶石</t>
    <phoneticPr fontId="1" type="noConversion"/>
  </si>
  <si>
    <t>chipGameType</t>
    <phoneticPr fontId="1" type="noConversion"/>
  </si>
  <si>
    <t>條件(中)</t>
    <phoneticPr fontId="1" type="noConversion"/>
  </si>
  <si>
    <t>條件(英)</t>
    <phoneticPr fontId="1" type="noConversion"/>
  </si>
  <si>
    <t>broadcastType</t>
    <phoneticPr fontId="1" type="noConversion"/>
  </si>
  <si>
    <t>Marquee</t>
    <phoneticPr fontId="1" type="noConversion"/>
  </si>
  <si>
    <t>輸出檔案名稱</t>
    <phoneticPr fontId="1" type="noConversion"/>
  </si>
  <si>
    <t>AutoScript設定</t>
    <phoneticPr fontId="1" type="noConversion"/>
  </si>
  <si>
    <t>Using列表</t>
    <phoneticPr fontId="1" type="noConversion"/>
  </si>
  <si>
    <t>System.Collections</t>
    <phoneticPr fontId="1" type="noConversion"/>
  </si>
  <si>
    <t>System.Collections.Generic</t>
    <phoneticPr fontId="1" type="noConversion"/>
  </si>
  <si>
    <t>UnityEngine</t>
    <phoneticPr fontId="1" type="noConversion"/>
  </si>
  <si>
    <t>ClassAttribute列表</t>
    <phoneticPr fontId="1" type="noConversion"/>
  </si>
  <si>
    <t>型別</t>
    <phoneticPr fontId="1" type="noConversion"/>
  </si>
  <si>
    <t>string</t>
    <phoneticPr fontId="1" type="noConversion"/>
  </si>
  <si>
    <t>int</t>
    <phoneticPr fontId="1" type="noConversion"/>
  </si>
  <si>
    <t>System.Serializable</t>
    <phoneticPr fontId="1" type="noConversion"/>
  </si>
  <si>
    <t>ConditionData</t>
    <phoneticPr fontId="1" type="noConversion"/>
  </si>
  <si>
    <t>SCGLobby</t>
    <phoneticPr fontId="1" type="noConversion"/>
  </si>
  <si>
    <t>NameSpace名稱</t>
    <phoneticPr fontId="1" type="noConversion"/>
  </si>
  <si>
    <t>CardItemType</t>
    <phoneticPr fontId="1" type="noConversion"/>
  </si>
  <si>
    <t>玩家暱稱</t>
    <phoneticPr fontId="1" type="noConversion"/>
  </si>
  <si>
    <t>廳館名稱</t>
    <phoneticPr fontId="1" type="noConversion"/>
  </si>
  <si>
    <t>卡片遊戲名稱</t>
    <phoneticPr fontId="1" type="noConversion"/>
  </si>
  <si>
    <t>卡片星數</t>
    <phoneticPr fontId="1" type="noConversion"/>
  </si>
  <si>
    <t>卡片種類</t>
    <phoneticPr fontId="1" type="noConversion"/>
  </si>
  <si>
    <t>數量</t>
    <phoneticPr fontId="1" type="noConversion"/>
  </si>
  <si>
    <t>獎勵名稱</t>
    <phoneticPr fontId="1" type="noConversion"/>
  </si>
  <si>
    <t>文字格式</t>
    <phoneticPr fontId="1" type="noConversion"/>
  </si>
  <si>
    <t>messageFormat</t>
    <phoneticPr fontId="1" type="noConversion"/>
  </si>
  <si>
    <t>輸出參數</t>
    <phoneticPr fontId="1" type="noConversion"/>
  </si>
  <si>
    <t>自定義參數</t>
    <phoneticPr fontId="1" type="noConversion"/>
  </si>
  <si>
    <t>NotificationConditionGroup.cs</t>
    <phoneticPr fontId="1" type="noConversion"/>
  </si>
  <si>
    <t>NotificationModel.BroadcastType</t>
    <phoneticPr fontId="1" type="noConversion"/>
  </si>
  <si>
    <t>恭喜 {0} 在 {1} {2} 紅包牆活動 開出 {3} {4} {5}{6} {7}張！</t>
    <phoneticPr fontId="1" type="noConversion"/>
  </si>
  <si>
    <t>當前遊戲名稱</t>
    <phoneticPr fontId="1" type="noConversion"/>
  </si>
  <si>
    <t>恭喜 {0} 在 {1} 集合拼圖活動，獲得 {2} {3} {4}{5} {6}張！</t>
    <phoneticPr fontId="1" type="noConversion"/>
  </si>
  <si>
    <t>恭喜 {0} 在 {1} 寶箱大挑戰活動，開啟 {2} 獲得 寶石{3}顆！</t>
    <phoneticPr fontId="1" type="noConversion"/>
  </si>
  <si>
    <t>恭喜 {0} 在 {1} 寶箱大挑戰活動，開啟 {2} 獲得 {3}金幣！</t>
    <phoneticPr fontId="1" type="noConversion"/>
  </si>
  <si>
    <t>恭喜 {0} 在 {1} 寶箱大挑戰活動，開啟 {2} 獲得 {3} {4} {5}{6} {7}張 ！</t>
    <phoneticPr fontId="1" type="noConversion"/>
  </si>
  <si>
    <t>Scratch Off Game</t>
    <phoneticPr fontId="1" type="noConversion"/>
  </si>
  <si>
    <t>恭喜 {0} 在 {1} 刮刮卡 {2}，獲得 {3}分！</t>
    <phoneticPr fontId="1" type="noConversion"/>
  </si>
  <si>
    <t>ResultData</t>
    <phoneticPr fontId="1" type="noConversion"/>
  </si>
  <si>
    <t>ChatMsg</t>
    <phoneticPr fontId="1" type="noConversion"/>
  </si>
  <si>
    <t>Cond_Gem</t>
    <phoneticPr fontId="1" type="noConversion"/>
  </si>
  <si>
    <t>AutoEnum關鍵字</t>
    <phoneticPr fontId="1" type="noConversion"/>
  </si>
  <si>
    <t>[AutoEnum]</t>
    <phoneticPr fontId="1" type="noConversion"/>
  </si>
  <si>
    <t>itemCardType</t>
    <phoneticPr fontId="1" type="noConversion"/>
  </si>
  <si>
    <t>BroadcastType</t>
    <phoneticPr fontId="1" type="noConversion"/>
  </si>
  <si>
    <t>hallType</t>
    <phoneticPr fontId="1" type="noConversion"/>
  </si>
  <si>
    <t>Pushs</t>
    <phoneticPr fontId="1" type="noConversion"/>
  </si>
  <si>
    <t>跑馬燈</t>
    <phoneticPr fontId="1" type="noConversion"/>
  </si>
  <si>
    <t>聊天室公開頻</t>
    <phoneticPr fontId="1" type="noConversion"/>
  </si>
  <si>
    <t>大獎推播彈窗</t>
    <phoneticPr fontId="1" type="noConversion"/>
  </si>
  <si>
    <t>條件類別</t>
    <phoneticPr fontId="1" type="noConversion"/>
  </si>
  <si>
    <t>結果類別</t>
    <phoneticPr fontId="1" type="noConversion"/>
  </si>
  <si>
    <t>Enum類別</t>
    <phoneticPr fontId="1" type="noConversion"/>
  </si>
  <si>
    <t>NotificationModel_Enum.cs</t>
    <phoneticPr fontId="1" type="noConversion"/>
  </si>
  <si>
    <t>AutoEnum設定</t>
    <phoneticPr fontId="1" type="noConversion"/>
  </si>
  <si>
    <t>類別名稱</t>
    <phoneticPr fontId="1" type="noConversion"/>
  </si>
  <si>
    <t>類別修飾</t>
    <phoneticPr fontId="1" type="noConversion"/>
  </si>
  <si>
    <t>partial</t>
    <phoneticPr fontId="1" type="noConversion"/>
  </si>
  <si>
    <t>NotificationModel</t>
    <phoneticPr fontId="1" type="noConversion"/>
  </si>
  <si>
    <t>Condition繼承類</t>
    <phoneticPr fontId="1" type="noConversion"/>
  </si>
  <si>
    <t>Result繼承類</t>
    <phoneticPr fontId="1" type="noConversion"/>
  </si>
  <si>
    <t>繼承類</t>
    <phoneticPr fontId="1" type="noConversion"/>
  </si>
  <si>
    <t>LobbyModel&lt;NotificationModel&gt;</t>
    <phoneticPr fontId="1" type="noConversion"/>
  </si>
  <si>
    <t>計數器</t>
    <phoneticPr fontId="1" type="noConversion"/>
  </si>
  <si>
    <t>文字標籤</t>
    <phoneticPr fontId="1" type="noConversion"/>
  </si>
  <si>
    <t>遊戲</t>
    <phoneticPr fontId="1" type="noConversion"/>
  </si>
  <si>
    <t>廳館</t>
    <phoneticPr fontId="1" type="noConversion"/>
  </si>
  <si>
    <t>贏分</t>
    <phoneticPr fontId="1" type="noConversion"/>
  </si>
  <si>
    <t>道具</t>
    <phoneticPr fontId="1" type="noConversion"/>
  </si>
  <si>
    <t>碎片</t>
    <phoneticPr fontId="1" type="noConversion"/>
  </si>
  <si>
    <t>寶石</t>
    <phoneticPr fontId="1" type="noConversion"/>
  </si>
  <si>
    <t>其他</t>
    <phoneticPr fontId="1" type="noConversion"/>
  </si>
  <si>
    <t>Cond_Other</t>
    <phoneticPr fontId="1" type="noConversion"/>
  </si>
  <si>
    <t>ConditionType</t>
    <phoneticPr fontId="1" type="noConversion"/>
  </si>
  <si>
    <t>GameType</t>
    <phoneticPr fontId="1" type="noConversion"/>
  </si>
  <si>
    <t>保底獎池</t>
    <phoneticPr fontId="1" type="noConversion"/>
  </si>
  <si>
    <t>集物兌換</t>
    <phoneticPr fontId="1" type="noConversion"/>
  </si>
  <si>
    <t>刮刮樂</t>
    <phoneticPr fontId="1" type="noConversion"/>
  </si>
  <si>
    <t>打寶箱</t>
    <phoneticPr fontId="1" type="noConversion"/>
  </si>
  <si>
    <t>拼圖</t>
    <phoneticPr fontId="1" type="noConversion"/>
  </si>
  <si>
    <t>紅包牆</t>
    <phoneticPr fontId="1" type="noConversion"/>
  </si>
  <si>
    <t>條件1</t>
    <phoneticPr fontId="1" type="noConversion"/>
  </si>
  <si>
    <t>項次</t>
    <phoneticPr fontId="1" type="noConversion"/>
  </si>
  <si>
    <t>值</t>
    <phoneticPr fontId="1" type="noConversion"/>
  </si>
  <si>
    <t>LogicalType</t>
    <phoneticPr fontId="1" type="noConversion"/>
  </si>
  <si>
    <t>等於</t>
    <phoneticPr fontId="1" type="noConversion"/>
  </si>
  <si>
    <t>大於(包含)</t>
    <phoneticPr fontId="1" type="noConversion"/>
  </si>
  <si>
    <t>小於(包含)</t>
    <phoneticPr fontId="1" type="noConversion"/>
  </si>
  <si>
    <t>介於</t>
    <phoneticPr fontId="1" type="noConversion"/>
  </si>
  <si>
    <t>集合中包含</t>
    <phoneticPr fontId="1" type="noConversion"/>
  </si>
  <si>
    <t>表格自動化設定</t>
    <phoneticPr fontId="1" type="noConversion"/>
  </si>
  <si>
    <t>[Dropdown=]</t>
    <phoneticPr fontId="1" type="noConversion"/>
  </si>
  <si>
    <t>恭喜 {0} 在 {1} 福運戳戳樂，第{2}洞 就幸運戳出{3} {4} {5}{6} {7}張 ！</t>
    <phoneticPr fontId="1" type="noConversion"/>
  </si>
  <si>
    <t>恭喜 {0} 在 {1} 福運戳戳樂，戳出{2} {3} {4}{5} {6}張 ！</t>
    <phoneticPr fontId="1" type="noConversion"/>
  </si>
  <si>
    <t>恭喜 {0} 在 {1} 福運戳戳樂，獲得{2} {3} {4}{5} {6}張！</t>
    <phoneticPr fontId="1" type="noConversion"/>
  </si>
  <si>
    <t>恭喜 {0} 在 {1} 玉兔搗糬聚金喜活動 獲得{2} {3} {4}{5} {6}張！</t>
    <phoneticPr fontId="1" type="noConversion"/>
  </si>
  <si>
    <t>恭喜 {0} 在 {1} 繽紛聖誕狂歡季活動 活動，兌換 {2} 獲得 {3} {4} {5}{6} {7}張！</t>
    <phoneticPr fontId="1" type="noConversion"/>
  </si>
  <si>
    <t>hallId</t>
    <phoneticPr fontId="1" type="noConversion"/>
  </si>
  <si>
    <t>[2, 3, 4]*contain</t>
    <phoneticPr fontId="1" type="noConversion"/>
  </si>
  <si>
    <t>winRate</t>
    <phoneticPr fontId="1" type="noConversion"/>
  </si>
  <si>
    <t>winValue</t>
    <phoneticPr fontId="1" type="noConversion"/>
  </si>
  <si>
    <t>[6, 7]*contain</t>
    <phoneticPr fontId="1" type="noConversion"/>
  </si>
  <si>
    <t>5000*greaterThan</t>
    <phoneticPr fontId="1" type="noConversion"/>
  </si>
  <si>
    <t>1000*greaterThan</t>
    <phoneticPr fontId="1" type="noConversion"/>
  </si>
  <si>
    <t>300*greaterThan</t>
    <phoneticPr fontId="1" type="noConversion"/>
  </si>
  <si>
    <t>3000000*greaterThan</t>
    <phoneticPr fontId="1" type="noConversion"/>
  </si>
  <si>
    <t>750000*greaterThan</t>
    <phoneticPr fontId="1" type="noConversion"/>
  </si>
  <si>
    <t>150000*greaterThan</t>
    <phoneticPr fontId="1" type="noConversion"/>
  </si>
  <si>
    <t>number</t>
    <phoneticPr fontId="1" type="noConversion"/>
  </si>
  <si>
    <t>5*greaterThan</t>
    <phoneticPr fontId="1" type="noConversion"/>
  </si>
  <si>
    <t>tag</t>
    <phoneticPr fontId="1" type="noConversion"/>
  </si>
  <si>
    <t>[1, 4]*range</t>
    <phoneticPr fontId="1" type="noConversion"/>
  </si>
  <si>
    <t>itemStar</t>
    <phoneticPr fontId="1" type="noConversion"/>
  </si>
  <si>
    <t>ResultData.cs</t>
    <phoneticPr fontId="1" type="noConversion"/>
  </si>
  <si>
    <t>強化兌換</t>
    <phoneticPr fontId="1" type="noConversion"/>
  </si>
  <si>
    <t>*greaterThan</t>
    <phoneticPr fontId="1" type="noConversion"/>
  </si>
  <si>
    <t>*smallerThan</t>
    <phoneticPr fontId="1" type="noConversion"/>
  </si>
  <si>
    <t>*range</t>
    <phoneticPr fontId="1" type="noConversion"/>
  </si>
  <si>
    <t>*contain</t>
    <phoneticPr fontId="1" type="noConversion"/>
  </si>
  <si>
    <t>[Dropdown=]LogicalType</t>
    <phoneticPr fontId="1" type="noConversion"/>
  </si>
  <si>
    <t>等於</t>
  </si>
  <si>
    <t>[AutoEnum][Dropdown=]ConditionType</t>
    <phoneticPr fontId="1" type="noConversion"/>
  </si>
  <si>
    <t>*equal</t>
    <phoneticPr fontId="1" type="noConversion"/>
  </si>
  <si>
    <t>遊戲類型</t>
  </si>
  <si>
    <t>贏分值</t>
  </si>
  <si>
    <t>集合中包含</t>
  </si>
  <si>
    <t>[PrizePoker Game, PokingLottery Game, TreasureChest Game]</t>
    <phoneticPr fontId="1" type="noConversion"/>
  </si>
  <si>
    <t>[Dropdown=]LogicalKey</t>
    <phoneticPr fontId="1" type="noConversion"/>
  </si>
  <si>
    <t>-</t>
  </si>
  <si>
    <t>[AutoEnum][Dropdown=]BroadcastType</t>
    <phoneticPr fontId="1" type="noConversion"/>
  </si>
  <si>
    <t>ChatMsg</t>
  </si>
  <si>
    <t>是否顯示條件輸入面板</t>
    <phoneticPr fontId="1" type="noConversion"/>
  </si>
  <si>
    <t>ON</t>
  </si>
  <si>
    <t>填入"*"自動初始化</t>
    <phoneticPr fontId="1" type="noConversion"/>
  </si>
  <si>
    <t>恭喜 {0} 在 {1} 玉兔搗糬聚金喜活動 獲得 {2} {3} {4}{5} {6}張！</t>
    <phoneticPr fontId="1" type="noConversion"/>
  </si>
  <si>
    <t>恭喜 {0} 在 {1} 粽夏悠遊飄香活動，兌換{2} 獲得 {3} {4} {5}{6} {7}張！</t>
    <phoneticPr fontId="1" type="noConversion"/>
  </si>
  <si>
    <t>恭喜 {0} 在 {1} {2} 紅包牆活動 開出 {3} {4} {5}{6} {7} 張！</t>
    <phoneticPr fontId="1" type="noConversion"/>
  </si>
  <si>
    <t>大獎彈窗顯示內容</t>
    <phoneticPr fontId="1" type="noConversion"/>
  </si>
  <si>
    <t>屏蔽條件</t>
    <phoneticPr fontId="1" type="noConversion"/>
  </si>
  <si>
    <t>Pushs</t>
  </si>
  <si>
    <t>PushsContentType</t>
    <phoneticPr fontId="1" type="noConversion"/>
  </si>
  <si>
    <t>遊戲圖示</t>
    <phoneticPr fontId="1" type="noConversion"/>
  </si>
  <si>
    <t>玩家頭像</t>
    <phoneticPr fontId="1" type="noConversion"/>
  </si>
  <si>
    <t>大獎項目</t>
    <phoneticPr fontId="1" type="noConversion"/>
  </si>
  <si>
    <t>JP獎項</t>
    <phoneticPr fontId="1" type="noConversion"/>
  </si>
  <si>
    <t>卡片圖示</t>
    <phoneticPr fontId="1" type="noConversion"/>
  </si>
  <si>
    <t>CustomParam</t>
    <phoneticPr fontId="1" type="noConversion"/>
  </si>
  <si>
    <t>NickName</t>
    <phoneticPr fontId="1" type="noConversion"/>
  </si>
  <si>
    <t>HallName</t>
    <phoneticPr fontId="1" type="noConversion"/>
  </si>
  <si>
    <t>ItemGameName</t>
    <phoneticPr fontId="1" type="noConversion"/>
  </si>
  <si>
    <t>ItemHallName</t>
    <phoneticPr fontId="1" type="noConversion"/>
  </si>
  <si>
    <t>ItemStarCount</t>
    <phoneticPr fontId="1" type="noConversion"/>
  </si>
  <si>
    <t>ItemCardType</t>
    <phoneticPr fontId="1" type="noConversion"/>
  </si>
  <si>
    <t>RewardName</t>
    <phoneticPr fontId="1" type="noConversion"/>
  </si>
  <si>
    <t>CurrentGameName</t>
    <phoneticPr fontId="1" type="noConversion"/>
  </si>
  <si>
    <t>WinType</t>
    <phoneticPr fontId="1" type="noConversion"/>
  </si>
  <si>
    <t>JackpotWinType</t>
    <phoneticPr fontId="1" type="noConversion"/>
  </si>
  <si>
    <t>ItemIcon</t>
    <phoneticPr fontId="1" type="noConversion"/>
  </si>
  <si>
    <t>CurrentHallName</t>
    <phoneticPr fontId="1" type="noConversion"/>
  </si>
  <si>
    <t>當前廳館名稱</t>
    <phoneticPr fontId="1" type="noConversion"/>
  </si>
  <si>
    <t>卡片廳館名稱</t>
    <phoneticPr fontId="1" type="noConversion"/>
  </si>
  <si>
    <t>MemberIcon</t>
    <phoneticPr fontId="1" type="noConversion"/>
  </si>
  <si>
    <t>MemberName</t>
    <phoneticPr fontId="1" type="noConversion"/>
  </si>
  <si>
    <t>BlockConditionType</t>
    <phoneticPr fontId="1" type="noConversion"/>
  </si>
  <si>
    <t>InLobby</t>
    <phoneticPr fontId="1" type="noConversion"/>
  </si>
  <si>
    <t>InEventWindow</t>
    <phoneticPr fontId="1" type="noConversion"/>
  </si>
  <si>
    <t>InScratchOffGame</t>
    <phoneticPr fontId="1" type="noConversion"/>
  </si>
  <si>
    <t>Slot_Experience</t>
    <phoneticPr fontId="1" type="noConversion"/>
  </si>
  <si>
    <t>Slot_Experience_InFreeGame</t>
    <phoneticPr fontId="1" type="noConversion"/>
  </si>
  <si>
    <t>Slot_Normal</t>
    <phoneticPr fontId="1" type="noConversion"/>
  </si>
  <si>
    <t>Slot_Normal_InFreeGame</t>
    <phoneticPr fontId="1" type="noConversion"/>
  </si>
  <si>
    <t>Slot_Master</t>
    <phoneticPr fontId="1" type="noConversion"/>
  </si>
  <si>
    <t>Slot_Master_InFreeGame</t>
    <phoneticPr fontId="1" type="noConversion"/>
  </si>
  <si>
    <t>Slot_GambleGod</t>
    <phoneticPr fontId="1" type="noConversion"/>
  </si>
  <si>
    <t>Slot_GambleGod_InFreeGame</t>
    <phoneticPr fontId="1" type="noConversion"/>
  </si>
  <si>
    <t>Baccarat_Experience</t>
    <phoneticPr fontId="1" type="noConversion"/>
  </si>
  <si>
    <t>Baccarat_Normal</t>
    <phoneticPr fontId="1" type="noConversion"/>
  </si>
  <si>
    <t>Baccarat_Master</t>
    <phoneticPr fontId="1" type="noConversion"/>
  </si>
  <si>
    <t>Baccarat_GambleGod</t>
    <phoneticPr fontId="1" type="noConversion"/>
  </si>
  <si>
    <t>AllGameHallSelectionPage</t>
    <phoneticPr fontId="1" type="noConversion"/>
  </si>
  <si>
    <t>LiveBaccarat_Experience</t>
  </si>
  <si>
    <t>LiveBaccarat_Normal</t>
  </si>
  <si>
    <t>LiveBaccarat_Master</t>
  </si>
  <si>
    <t>LiveBaccarat_GambleGod</t>
  </si>
  <si>
    <t>Sicbo_Experience</t>
  </si>
  <si>
    <t>Sicbo_Normal</t>
  </si>
  <si>
    <t>Sicbo_Master</t>
  </si>
  <si>
    <t>Sicbo_GambleGod</t>
  </si>
  <si>
    <t>Roulette_Experience</t>
  </si>
  <si>
    <t>Roulette_Normal</t>
  </si>
  <si>
    <t>Roulette_Master</t>
  </si>
  <si>
    <t>Roulette_GambleGod</t>
  </si>
  <si>
    <t>Blackjack_Experience</t>
  </si>
  <si>
    <t>Blackjack_Normal</t>
  </si>
  <si>
    <t>Blackjack_Master</t>
  </si>
  <si>
    <t>Blackjack_GambleGod</t>
  </si>
  <si>
    <t>Mahjong_Experience</t>
  </si>
  <si>
    <t>Mahjong_Normal</t>
  </si>
  <si>
    <t>Mahjong_Master</t>
  </si>
  <si>
    <t>Mahjong_GambleGod</t>
  </si>
  <si>
    <t>NiuNiu_Experience</t>
  </si>
  <si>
    <t>NiuNiu_Normal</t>
  </si>
  <si>
    <t>NiuNiu_Master</t>
  </si>
  <si>
    <t>NiuNiu_GambleGod</t>
  </si>
  <si>
    <t>Fish_Experience</t>
  </si>
  <si>
    <t>Fish_Normal</t>
  </si>
  <si>
    <t>Fish_Master</t>
  </si>
  <si>
    <t>Fish_GambleGod</t>
  </si>
  <si>
    <t>InGacha</t>
    <phoneticPr fontId="1" type="noConversion"/>
  </si>
  <si>
    <t>大廳</t>
    <phoneticPr fontId="1" type="noConversion"/>
  </si>
  <si>
    <t>扭蛋</t>
    <phoneticPr fontId="1" type="noConversion"/>
  </si>
  <si>
    <t>活動介面</t>
    <phoneticPr fontId="1" type="noConversion"/>
  </si>
  <si>
    <t>老虎機_體驗廳</t>
    <phoneticPr fontId="1" type="noConversion"/>
  </si>
  <si>
    <t>老虎機_體驗廳_FreeGame</t>
    <phoneticPr fontId="1" type="noConversion"/>
  </si>
  <si>
    <t>老虎機_一般廳</t>
    <phoneticPr fontId="1" type="noConversion"/>
  </si>
  <si>
    <t>老虎機_一般廳_FreeGame</t>
    <phoneticPr fontId="1" type="noConversion"/>
  </si>
  <si>
    <t>老虎機_高手廳</t>
    <phoneticPr fontId="1" type="noConversion"/>
  </si>
  <si>
    <t>老虎機_高手廳_FreeGame</t>
    <phoneticPr fontId="1" type="noConversion"/>
  </si>
  <si>
    <t>老虎機_至尊廳</t>
    <phoneticPr fontId="1" type="noConversion"/>
  </si>
  <si>
    <t>老虎機_至尊廳_FreeGame</t>
    <phoneticPr fontId="1" type="noConversion"/>
  </si>
  <si>
    <t>所有遊戲選廳選桌</t>
    <phoneticPr fontId="1" type="noConversion"/>
  </si>
  <si>
    <t>尊榮百家_體驗廳</t>
  </si>
  <si>
    <t>尊榮百家_一般廳</t>
  </si>
  <si>
    <t>尊榮百家_高手廳</t>
  </si>
  <si>
    <t>尊榮百家_至尊廳</t>
  </si>
  <si>
    <t>真人百家_體驗廳</t>
  </si>
  <si>
    <t>真人百家_一般廳</t>
  </si>
  <si>
    <t>真人百家_高手廳</t>
  </si>
  <si>
    <t>真人百家_至尊廳</t>
  </si>
  <si>
    <t>骰寶爆爆樂_體驗廳</t>
  </si>
  <si>
    <t>骰寶爆爆樂_一般廳</t>
  </si>
  <si>
    <t>骰寶爆爆樂_高手廳</t>
  </si>
  <si>
    <t>骰寶爆爆樂_至尊廳</t>
  </si>
  <si>
    <t>百倍輪盤_體驗廳</t>
  </si>
  <si>
    <t>百倍輪盤_一般廳</t>
  </si>
  <si>
    <t>百倍輪盤_高手廳</t>
  </si>
  <si>
    <t>百倍輪盤_至尊廳</t>
  </si>
  <si>
    <t>尊爵21_體驗廳</t>
  </si>
  <si>
    <t>尊爵21_一般廳</t>
  </si>
  <si>
    <t>尊爵21_高手廳</t>
  </si>
  <si>
    <t>尊爵21_至尊廳</t>
  </si>
  <si>
    <t>咪吉麻將_體驗廳</t>
  </si>
  <si>
    <t>咪吉麻將_一般廳</t>
  </si>
  <si>
    <t>咪吉麻將_高手廳</t>
  </si>
  <si>
    <t>咪吉麻將_至尊廳</t>
  </si>
  <si>
    <t>搶莊牛牛_體驗廳</t>
  </si>
  <si>
    <t>搶莊牛牛_一般廳</t>
  </si>
  <si>
    <t>搶莊牛牛_高手廳</t>
  </si>
  <si>
    <t>搶莊牛牛_至尊廳</t>
  </si>
  <si>
    <t>魚機_體驗廳</t>
  </si>
  <si>
    <t>魚機_一般廳</t>
  </si>
  <si>
    <t>魚機_高手廳</t>
  </si>
  <si>
    <t>魚機_至尊廳</t>
  </si>
  <si>
    <t>MessageContentType</t>
    <phoneticPr fontId="1" type="noConversion"/>
  </si>
  <si>
    <t>Amount</t>
    <phoneticPr fontId="1" type="noConversion"/>
  </si>
  <si>
    <t>gemCount</t>
    <phoneticPr fontId="1" type="noConversion"/>
  </si>
  <si>
    <t>[Dropdown=]gameType_c</t>
    <phoneticPr fontId="1" type="noConversion"/>
  </si>
  <si>
    <t>[Dropdown=]hallId_c</t>
    <phoneticPr fontId="1" type="noConversion"/>
  </si>
  <si>
    <t>下拉選單項目中文後綴</t>
    <phoneticPr fontId="1" type="noConversion"/>
  </si>
  <si>
    <t>下拉選單項目英文後綴</t>
    <phoneticPr fontId="1" type="noConversion"/>
  </si>
  <si>
    <t>_c</t>
    <phoneticPr fontId="1" type="noConversion"/>
  </si>
  <si>
    <t>下拉選單項目關鍵字</t>
    <phoneticPr fontId="1" type="noConversion"/>
  </si>
  <si>
    <t>[Dropdown=]itemCardType_c</t>
    <phoneticPr fontId="1" type="noConversion"/>
  </si>
  <si>
    <t>[AutoEnum][Dropdown=]messageFormat</t>
    <phoneticPr fontId="1" type="noConversion"/>
  </si>
  <si>
    <t>_o</t>
    <phoneticPr fontId="1" type="noConversion"/>
  </si>
  <si>
    <t>[Dropdown=]gameType_o</t>
    <phoneticPr fontId="1" type="noConversion"/>
  </si>
  <si>
    <t>[Dropdown=]itemCardType_o</t>
    <phoneticPr fontId="1" type="noConversion"/>
  </si>
  <si>
    <t>[Dropdown=]hallId_o</t>
    <phoneticPr fontId="1" type="noConversion"/>
  </si>
  <si>
    <t>List&lt;int&gt;</t>
    <phoneticPr fontId="1" type="noConversion"/>
  </si>
  <si>
    <t>GameBanner</t>
    <phoneticPr fontId="1" type="noConversion"/>
  </si>
  <si>
    <t>scgGameId</t>
    <phoneticPr fontId="1" type="noConversion"/>
  </si>
  <si>
    <t>GoldAmount</t>
    <phoneticPr fontId="1" type="noConversion"/>
  </si>
  <si>
    <t>GemAmount</t>
    <phoneticPr fontId="1" type="noConversion"/>
  </si>
  <si>
    <t>贏分數量</t>
    <phoneticPr fontId="1" type="noConversion"/>
  </si>
  <si>
    <t>寶石數量</t>
    <phoneticPr fontId="1" type="noConversion"/>
  </si>
  <si>
    <t>formatParams</t>
    <phoneticPr fontId="1" type="noConversion"/>
  </si>
  <si>
    <t>pushsParams</t>
    <phoneticPr fontId="1" type="noConversion"/>
  </si>
  <si>
    <t>blockParams</t>
    <phoneticPr fontId="1" type="noConversion"/>
  </si>
  <si>
    <t>[AutoEnum][Dropdown=]blockParams</t>
    <phoneticPr fontId="1" type="noConversion"/>
  </si>
  <si>
    <t>[Dropdown=]pushsParams</t>
    <phoneticPr fontId="1" type="noConversion"/>
  </si>
  <si>
    <t>[1, 2, 0, 3, 4, 5, 6, 7]</t>
    <phoneticPr fontId="1" type="noConversion"/>
  </si>
  <si>
    <t>[1, 2, 3, 4, 5, 6, 7]</t>
    <phoneticPr fontId="1" type="noConversion"/>
  </si>
  <si>
    <t>恭喜 {0} 在 {1} 玉兔搗糬聚金喜活動 獲得 寶石{2}顆！</t>
    <phoneticPr fontId="1" type="noConversion"/>
  </si>
  <si>
    <t>[1, 2, 7]</t>
    <phoneticPr fontId="1" type="noConversion"/>
  </si>
  <si>
    <t>[1, 2, 8, 3, 4, 5, 6, 7]</t>
    <phoneticPr fontId="1" type="noConversion"/>
  </si>
  <si>
    <t>[1, 2, 9, 3, 4, 5, 6, 7]</t>
    <phoneticPr fontId="1" type="noConversion"/>
  </si>
  <si>
    <t>[1, 2, 8, 7]</t>
    <phoneticPr fontId="1" type="noConversion"/>
  </si>
  <si>
    <t>[1, 8, 0, 7]</t>
    <phoneticPr fontId="1" type="noConversion"/>
  </si>
  <si>
    <t>[0, 1, 2, 3, 12]</t>
    <phoneticPr fontId="1" type="noConversion"/>
  </si>
  <si>
    <t>[0, 2, 3, 7, 8, 9, 10]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</si>
</sst>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5" borderId="0" xfId="0" applyFill="1" applyAlignment="1">
      <alignment horizontal="left" vertical="center"/>
    </xf>
    <xf numFmtId="11" fontId="0" fillId="0" borderId="0" xfId="0" applyNumberForma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0</xdr:row>
          <xdr:rowOff>152400</xdr:rowOff>
        </xdr:from>
        <xdr:to>
          <xdr:col>1</xdr:col>
          <xdr:colOff>923925</xdr:colOff>
          <xdr:row>0</xdr:row>
          <xdr:rowOff>485775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輸出ConditionClass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1143000</xdr:colOff>
          <xdr:row>0</xdr:row>
          <xdr:rowOff>142875</xdr:rowOff>
        </xdr:from>
        <xdr:to>
          <xdr:col>2</xdr:col>
          <xdr:colOff>952500</xdr:colOff>
          <xdr:row>0</xdr:row>
          <xdr:rowOff>485775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自動輸出Enum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81B44-652E-4F3E-A2AB-EAC6E2526F78}">
  <sheetPr codeName="工作表1"/>
  <dimension ref="A1:Q41"/>
  <sheetViews>
    <sheetView tabSelected="1" topLeftCell="G1" zoomScale="85" zoomScaleNormal="85" workbookViewId="0">
      <pane ySplit="5" topLeftCell="A6" activePane="bottomLeft" state="frozen"/>
      <selection pane="bottomLeft" activeCell="O27" sqref="O27"/>
    </sheetView>
  </sheetViews>
  <sheetFormatPr defaultColWidth="9" defaultRowHeight="16.5" x14ac:dyDescent="0.25"/>
  <cols>
    <col min="1" max="1" width="10.75" style="1" customWidth="1"/>
    <col min="2" max="2" width="21.875" style="1" customWidth="1"/>
    <col min="3" max="3" width="16.125" style="1" customWidth="1"/>
    <col min="4" max="4" width="17.125" style="1" customWidth="1"/>
    <col min="5" max="5" width="16" style="1" customWidth="1"/>
    <col min="6" max="6" width="20" style="1" customWidth="1"/>
    <col min="7" max="7" width="20.625" style="1" customWidth="1"/>
    <col min="8" max="8" width="15.25" style="1" customWidth="1"/>
    <col min="9" max="9" width="18" style="1" customWidth="1"/>
    <col min="10" max="10" width="17.625" style="1" customWidth="1"/>
    <col min="11" max="12" width="13.125" style="1" customWidth="1"/>
    <col min="13" max="13" width="29.375" style="1" customWidth="1"/>
    <col min="14" max="14" width="78.5" style="8" customWidth="1"/>
    <col min="15" max="15" width="22.25" style="1" customWidth="1"/>
    <col min="16" max="16" width="20.625" style="11" customWidth="1"/>
    <col min="17" max="17" width="18.25" style="1" customWidth="1"/>
    <col min="18" max="16384" width="9" style="1"/>
  </cols>
  <sheetData>
    <row r="1" spans="1:17" s="3" customFormat="1" ht="68.25" customHeight="1" x14ac:dyDescent="0.25">
      <c r="A1" s="6" t="s">
        <v>9</v>
      </c>
      <c r="B1" s="6" t="s">
        <v>8</v>
      </c>
      <c r="C1" s="6" t="s">
        <v>8</v>
      </c>
      <c r="D1" s="6" t="s">
        <v>8</v>
      </c>
      <c r="E1" s="6" t="s">
        <v>8</v>
      </c>
      <c r="F1" s="6" t="s">
        <v>8</v>
      </c>
      <c r="G1" s="6" t="s">
        <v>8</v>
      </c>
      <c r="H1" s="6" t="s">
        <v>8</v>
      </c>
      <c r="I1" s="6" t="s">
        <v>8</v>
      </c>
      <c r="J1" s="6" t="s">
        <v>8</v>
      </c>
      <c r="K1" s="6" t="s">
        <v>8</v>
      </c>
      <c r="L1" s="6" t="s">
        <v>8</v>
      </c>
      <c r="M1" s="6" t="s">
        <v>7</v>
      </c>
      <c r="N1" s="6" t="s">
        <v>7</v>
      </c>
      <c r="O1" s="6" t="s">
        <v>7</v>
      </c>
      <c r="P1" s="6" t="s">
        <v>7</v>
      </c>
      <c r="Q1" s="6" t="s">
        <v>7</v>
      </c>
    </row>
    <row r="2" spans="1:17" x14ac:dyDescent="0.25">
      <c r="A2" s="7" t="s">
        <v>10</v>
      </c>
      <c r="B2" s="7" t="s">
        <v>11</v>
      </c>
      <c r="C2" s="7" t="s">
        <v>11</v>
      </c>
      <c r="D2" s="7" t="s">
        <v>12</v>
      </c>
      <c r="E2" s="7" t="s">
        <v>13</v>
      </c>
      <c r="F2" s="7" t="s">
        <v>13</v>
      </c>
      <c r="G2" s="7" t="s">
        <v>14</v>
      </c>
      <c r="H2" s="7" t="s">
        <v>14</v>
      </c>
      <c r="I2" s="7" t="s">
        <v>15</v>
      </c>
      <c r="J2" s="7" t="s">
        <v>87</v>
      </c>
      <c r="K2" s="7" t="s">
        <v>119</v>
      </c>
      <c r="L2" s="7" t="s">
        <v>119</v>
      </c>
      <c r="M2" s="7" t="s">
        <v>85</v>
      </c>
      <c r="N2" s="7" t="s">
        <v>85</v>
      </c>
      <c r="O2" s="7" t="s">
        <v>85</v>
      </c>
      <c r="P2" s="7" t="s">
        <v>85</v>
      </c>
      <c r="Q2" s="7" t="s">
        <v>85</v>
      </c>
    </row>
    <row r="3" spans="1:17" x14ac:dyDescent="0.25">
      <c r="A3" s="5" t="s">
        <v>45</v>
      </c>
      <c r="B3" s="5" t="s">
        <v>0</v>
      </c>
      <c r="C3" s="5" t="s">
        <v>2</v>
      </c>
      <c r="D3" s="5" t="s">
        <v>1</v>
      </c>
      <c r="E3" s="5" t="s">
        <v>41</v>
      </c>
      <c r="F3" s="5" t="s">
        <v>42</v>
      </c>
      <c r="G3" s="5" t="s">
        <v>5</v>
      </c>
      <c r="H3" s="5" t="s">
        <v>3</v>
      </c>
      <c r="I3" s="5" t="s">
        <v>6</v>
      </c>
      <c r="J3" s="5" t="s">
        <v>43</v>
      </c>
      <c r="K3" s="5" t="s">
        <v>110</v>
      </c>
      <c r="L3" s="5" t="s">
        <v>111</v>
      </c>
      <c r="M3" s="5" t="s">
        <v>4</v>
      </c>
      <c r="N3" s="5" t="s">
        <v>71</v>
      </c>
      <c r="O3" s="5" t="s">
        <v>73</v>
      </c>
      <c r="P3" s="5" t="s">
        <v>184</v>
      </c>
      <c r="Q3" s="5" t="s">
        <v>185</v>
      </c>
    </row>
    <row r="4" spans="1:17" x14ac:dyDescent="0.25">
      <c r="A4" s="4" t="s">
        <v>46</v>
      </c>
      <c r="B4" s="4" t="s">
        <v>34</v>
      </c>
      <c r="C4" s="4" t="s">
        <v>317</v>
      </c>
      <c r="D4" s="4" t="s">
        <v>144</v>
      </c>
      <c r="E4" s="4" t="s">
        <v>146</v>
      </c>
      <c r="F4" s="4" t="s">
        <v>147</v>
      </c>
      <c r="G4" s="4" t="s">
        <v>90</v>
      </c>
      <c r="H4" s="4" t="s">
        <v>159</v>
      </c>
      <c r="I4" s="4" t="s">
        <v>44</v>
      </c>
      <c r="J4" s="4" t="s">
        <v>302</v>
      </c>
      <c r="K4" s="4" t="s">
        <v>155</v>
      </c>
      <c r="L4" s="4" t="s">
        <v>157</v>
      </c>
      <c r="M4" s="4" t="s">
        <v>47</v>
      </c>
      <c r="N4" s="4" t="s">
        <v>72</v>
      </c>
      <c r="O4" s="4" t="s">
        <v>322</v>
      </c>
      <c r="P4" s="4" t="s">
        <v>323</v>
      </c>
      <c r="Q4" s="4" t="s">
        <v>324</v>
      </c>
    </row>
    <row r="5" spans="1:17" x14ac:dyDescent="0.25">
      <c r="A5" s="4" t="s">
        <v>56</v>
      </c>
      <c r="B5" s="4" t="s">
        <v>57</v>
      </c>
      <c r="C5" s="4" t="s">
        <v>57</v>
      </c>
      <c r="D5" s="4" t="s">
        <v>58</v>
      </c>
      <c r="E5" s="4" t="s">
        <v>58</v>
      </c>
      <c r="F5" s="4" t="s">
        <v>58</v>
      </c>
      <c r="G5" s="4" t="s">
        <v>58</v>
      </c>
      <c r="H5" s="4" t="s">
        <v>58</v>
      </c>
      <c r="I5" s="4" t="s">
        <v>58</v>
      </c>
      <c r="J5" s="4" t="s">
        <v>58</v>
      </c>
      <c r="K5" s="4" t="s">
        <v>58</v>
      </c>
      <c r="L5" s="4" t="s">
        <v>57</v>
      </c>
      <c r="M5" s="4" t="s">
        <v>76</v>
      </c>
      <c r="N5" s="4" t="s">
        <v>57</v>
      </c>
      <c r="O5" s="4" t="s">
        <v>315</v>
      </c>
      <c r="P5" s="4" t="s">
        <v>315</v>
      </c>
      <c r="Q5" s="4" t="s">
        <v>315</v>
      </c>
    </row>
    <row r="6" spans="1:17" x14ac:dyDescent="0.25">
      <c r="A6" s="1" t="s">
        <v>10</v>
      </c>
      <c r="B6" s="1" t="s">
        <v>16</v>
      </c>
      <c r="C6" s="1" t="s">
        <v>40</v>
      </c>
      <c r="D6" s="2" t="s">
        <v>145</v>
      </c>
      <c r="E6" s="1" t="s">
        <v>40</v>
      </c>
      <c r="F6" s="1" t="s">
        <v>40</v>
      </c>
      <c r="G6" s="2" t="s">
        <v>148</v>
      </c>
      <c r="H6" s="1" t="s">
        <v>40</v>
      </c>
      <c r="I6" s="1" t="s">
        <v>40</v>
      </c>
      <c r="J6" s="1" t="s">
        <v>40</v>
      </c>
      <c r="K6" s="1" t="s">
        <v>158</v>
      </c>
      <c r="L6" s="1" t="s">
        <v>40</v>
      </c>
      <c r="M6" s="1" t="s">
        <v>48</v>
      </c>
      <c r="N6" s="8" t="s">
        <v>139</v>
      </c>
      <c r="O6" s="1" t="s">
        <v>327</v>
      </c>
      <c r="P6" s="11" t="s">
        <v>175</v>
      </c>
      <c r="Q6" s="11" t="s">
        <v>175</v>
      </c>
    </row>
    <row r="7" spans="1:17" x14ac:dyDescent="0.25">
      <c r="A7" s="1" t="s">
        <v>10</v>
      </c>
      <c r="B7" s="1" t="s">
        <v>16</v>
      </c>
      <c r="C7" s="1" t="s">
        <v>40</v>
      </c>
      <c r="D7" s="2" t="s">
        <v>145</v>
      </c>
      <c r="E7" s="1" t="s">
        <v>40</v>
      </c>
      <c r="F7" s="1" t="s">
        <v>40</v>
      </c>
      <c r="G7" s="2" t="s">
        <v>148</v>
      </c>
      <c r="H7" s="1" t="s">
        <v>40</v>
      </c>
      <c r="I7" s="1" t="s">
        <v>40</v>
      </c>
      <c r="J7" s="1" t="s">
        <v>40</v>
      </c>
      <c r="K7" s="1" t="s">
        <v>156</v>
      </c>
      <c r="L7" s="1" t="s">
        <v>40</v>
      </c>
      <c r="M7" s="1" t="s">
        <v>48</v>
      </c>
      <c r="N7" s="8" t="s">
        <v>140</v>
      </c>
      <c r="O7" s="1" t="s">
        <v>328</v>
      </c>
      <c r="P7" s="11" t="s">
        <v>175</v>
      </c>
      <c r="Q7" s="11" t="s">
        <v>175</v>
      </c>
    </row>
    <row r="8" spans="1:17" x14ac:dyDescent="0.25">
      <c r="A8" s="1" t="s">
        <v>10</v>
      </c>
      <c r="B8" s="1" t="s">
        <v>16</v>
      </c>
      <c r="C8" s="1" t="s">
        <v>40</v>
      </c>
      <c r="D8" s="2" t="s">
        <v>145</v>
      </c>
      <c r="E8" s="1" t="s">
        <v>40</v>
      </c>
      <c r="F8" s="1" t="s">
        <v>40</v>
      </c>
      <c r="G8" s="2">
        <v>7</v>
      </c>
      <c r="H8" s="1" t="s">
        <v>40</v>
      </c>
      <c r="I8" s="1" t="s">
        <v>40</v>
      </c>
      <c r="J8" s="1" t="s">
        <v>40</v>
      </c>
      <c r="K8" s="1" t="s">
        <v>40</v>
      </c>
      <c r="L8" s="1" t="s">
        <v>40</v>
      </c>
      <c r="M8" s="1" t="s">
        <v>86</v>
      </c>
      <c r="N8" s="8" t="s">
        <v>141</v>
      </c>
      <c r="O8" s="20" t="s">
        <v>328</v>
      </c>
      <c r="P8" s="11" t="s">
        <v>175</v>
      </c>
      <c r="Q8" s="11" t="s">
        <v>175</v>
      </c>
    </row>
    <row r="9" spans="1:17" s="11" customFormat="1" x14ac:dyDescent="0.25">
      <c r="A9" s="11" t="s">
        <v>10</v>
      </c>
      <c r="B9" s="12" t="s">
        <v>16</v>
      </c>
      <c r="C9" s="11" t="s">
        <v>175</v>
      </c>
      <c r="D9" s="2" t="s">
        <v>175</v>
      </c>
      <c r="E9" s="11" t="s">
        <v>175</v>
      </c>
      <c r="F9" s="11" t="s">
        <v>175</v>
      </c>
      <c r="G9" s="2">
        <v>7</v>
      </c>
      <c r="H9" s="11" t="s">
        <v>175</v>
      </c>
      <c r="I9" s="11" t="s">
        <v>175</v>
      </c>
      <c r="J9" s="11" t="s">
        <v>175</v>
      </c>
      <c r="K9" s="11" t="s">
        <v>175</v>
      </c>
      <c r="L9" s="11" t="s">
        <v>175</v>
      </c>
      <c r="M9" s="11" t="s">
        <v>186</v>
      </c>
      <c r="N9" s="8" t="s">
        <v>175</v>
      </c>
      <c r="O9" s="11" t="s">
        <v>175</v>
      </c>
      <c r="P9" s="11" t="s">
        <v>336</v>
      </c>
      <c r="Q9" s="11" t="s">
        <v>175</v>
      </c>
    </row>
    <row r="10" spans="1:17" x14ac:dyDescent="0.25">
      <c r="A10" s="1" t="s">
        <v>10</v>
      </c>
      <c r="B10" s="1" t="s">
        <v>35</v>
      </c>
      <c r="C10" s="1" t="s">
        <v>40</v>
      </c>
      <c r="D10" s="2" t="s">
        <v>145</v>
      </c>
      <c r="E10" s="1" t="s">
        <v>40</v>
      </c>
      <c r="F10" s="1" t="s">
        <v>40</v>
      </c>
      <c r="G10" s="2" t="s">
        <v>148</v>
      </c>
      <c r="H10" s="1" t="s">
        <v>40</v>
      </c>
      <c r="I10" s="1" t="s">
        <v>40</v>
      </c>
      <c r="J10" s="1" t="s">
        <v>40</v>
      </c>
      <c r="K10" s="1" t="s">
        <v>40</v>
      </c>
      <c r="L10" s="1" t="s">
        <v>40</v>
      </c>
      <c r="M10" s="1" t="s">
        <v>48</v>
      </c>
      <c r="N10" s="8" t="s">
        <v>142</v>
      </c>
      <c r="O10" s="20" t="s">
        <v>328</v>
      </c>
      <c r="P10" s="11" t="s">
        <v>175</v>
      </c>
      <c r="Q10" s="11" t="s">
        <v>175</v>
      </c>
    </row>
    <row r="11" spans="1:17" s="10" customFormat="1" x14ac:dyDescent="0.25">
      <c r="A11" s="10" t="s">
        <v>10</v>
      </c>
      <c r="B11" s="10" t="s">
        <v>35</v>
      </c>
      <c r="C11" s="10" t="s">
        <v>175</v>
      </c>
      <c r="D11" s="2">
        <v>2</v>
      </c>
      <c r="E11" s="10" t="s">
        <v>175</v>
      </c>
      <c r="F11" s="10" t="s">
        <v>175</v>
      </c>
      <c r="G11" s="2" t="s">
        <v>175</v>
      </c>
      <c r="H11" s="10" t="s">
        <v>175</v>
      </c>
      <c r="I11" s="10" t="s">
        <v>175</v>
      </c>
      <c r="J11" s="10" t="s">
        <v>151</v>
      </c>
      <c r="K11" s="10" t="s">
        <v>175</v>
      </c>
      <c r="L11" s="10" t="s">
        <v>175</v>
      </c>
      <c r="M11" s="10" t="s">
        <v>177</v>
      </c>
      <c r="N11" s="8" t="s">
        <v>329</v>
      </c>
      <c r="O11" s="17" t="s">
        <v>330</v>
      </c>
      <c r="P11" s="11" t="s">
        <v>175</v>
      </c>
      <c r="Q11" s="11" t="s">
        <v>175</v>
      </c>
    </row>
    <row r="12" spans="1:17" s="10" customFormat="1" x14ac:dyDescent="0.25">
      <c r="A12" s="10" t="s">
        <v>10</v>
      </c>
      <c r="B12" s="10" t="s">
        <v>35</v>
      </c>
      <c r="C12" s="10" t="s">
        <v>175</v>
      </c>
      <c r="D12" s="2">
        <v>3</v>
      </c>
      <c r="E12" s="10" t="s">
        <v>175</v>
      </c>
      <c r="F12" s="10" t="s">
        <v>175</v>
      </c>
      <c r="G12" s="2" t="s">
        <v>175</v>
      </c>
      <c r="H12" s="10" t="s">
        <v>175</v>
      </c>
      <c r="I12" s="10" t="s">
        <v>175</v>
      </c>
      <c r="J12" s="10" t="s">
        <v>150</v>
      </c>
      <c r="K12" s="10" t="s">
        <v>175</v>
      </c>
      <c r="L12" s="10" t="s">
        <v>175</v>
      </c>
      <c r="M12" s="10" t="s">
        <v>177</v>
      </c>
      <c r="N12" s="8" t="s">
        <v>329</v>
      </c>
      <c r="O12" s="20" t="s">
        <v>330</v>
      </c>
      <c r="P12" s="11" t="s">
        <v>175</v>
      </c>
      <c r="Q12" s="11" t="s">
        <v>175</v>
      </c>
    </row>
    <row r="13" spans="1:17" s="10" customFormat="1" x14ac:dyDescent="0.25">
      <c r="A13" s="10" t="s">
        <v>10</v>
      </c>
      <c r="B13" s="10" t="s">
        <v>35</v>
      </c>
      <c r="C13" s="10" t="s">
        <v>175</v>
      </c>
      <c r="D13" s="2">
        <v>4</v>
      </c>
      <c r="E13" s="10" t="s">
        <v>175</v>
      </c>
      <c r="F13" s="10" t="s">
        <v>175</v>
      </c>
      <c r="G13" s="2" t="s">
        <v>175</v>
      </c>
      <c r="H13" s="10" t="s">
        <v>40</v>
      </c>
      <c r="I13" s="10" t="s">
        <v>175</v>
      </c>
      <c r="J13" s="10" t="s">
        <v>149</v>
      </c>
      <c r="K13" s="10" t="s">
        <v>175</v>
      </c>
      <c r="L13" s="10" t="s">
        <v>175</v>
      </c>
      <c r="M13" s="10" t="s">
        <v>177</v>
      </c>
      <c r="N13" s="8" t="s">
        <v>329</v>
      </c>
      <c r="O13" s="20" t="s">
        <v>330</v>
      </c>
      <c r="P13" s="11" t="s">
        <v>175</v>
      </c>
      <c r="Q13" s="11" t="s">
        <v>175</v>
      </c>
    </row>
    <row r="14" spans="1:17" s="10" customFormat="1" x14ac:dyDescent="0.25">
      <c r="A14" s="10" t="s">
        <v>10</v>
      </c>
      <c r="B14" s="10" t="s">
        <v>35</v>
      </c>
      <c r="C14" s="10" t="s">
        <v>175</v>
      </c>
      <c r="D14" s="2" t="s">
        <v>145</v>
      </c>
      <c r="E14" s="10" t="s">
        <v>175</v>
      </c>
      <c r="F14" s="10" t="s">
        <v>175</v>
      </c>
      <c r="G14" s="2">
        <v>7</v>
      </c>
      <c r="H14" s="10" t="s">
        <v>40</v>
      </c>
      <c r="I14" s="10" t="s">
        <v>175</v>
      </c>
      <c r="J14" s="10" t="s">
        <v>175</v>
      </c>
      <c r="K14" s="10" t="s">
        <v>175</v>
      </c>
      <c r="L14" s="10" t="s">
        <v>175</v>
      </c>
      <c r="M14" s="10" t="s">
        <v>177</v>
      </c>
      <c r="N14" s="8" t="s">
        <v>181</v>
      </c>
      <c r="O14" s="20" t="s">
        <v>328</v>
      </c>
      <c r="P14" s="11" t="s">
        <v>175</v>
      </c>
      <c r="Q14" s="11" t="s">
        <v>175</v>
      </c>
    </row>
    <row r="15" spans="1:17" s="18" customFormat="1" x14ac:dyDescent="0.25">
      <c r="A15" s="18" t="s">
        <v>10</v>
      </c>
      <c r="B15" s="18" t="s">
        <v>35</v>
      </c>
      <c r="C15" s="18" t="s">
        <v>175</v>
      </c>
      <c r="D15" s="2" t="s">
        <v>175</v>
      </c>
      <c r="E15" s="18" t="s">
        <v>175</v>
      </c>
      <c r="F15" s="18" t="s">
        <v>175</v>
      </c>
      <c r="G15" s="2">
        <v>7</v>
      </c>
      <c r="H15" s="18" t="s">
        <v>175</v>
      </c>
      <c r="I15" s="18" t="s">
        <v>175</v>
      </c>
      <c r="J15" s="18" t="s">
        <v>175</v>
      </c>
      <c r="K15" s="18" t="s">
        <v>175</v>
      </c>
      <c r="L15" s="18" t="s">
        <v>175</v>
      </c>
      <c r="M15" s="18" t="s">
        <v>186</v>
      </c>
      <c r="N15" s="8" t="s">
        <v>175</v>
      </c>
      <c r="O15" s="18" t="s">
        <v>175</v>
      </c>
      <c r="P15" s="18" t="s">
        <v>336</v>
      </c>
      <c r="Q15" s="18" t="s">
        <v>175</v>
      </c>
    </row>
    <row r="16" spans="1:17" s="18" customFormat="1" x14ac:dyDescent="0.25">
      <c r="A16" s="18" t="s">
        <v>10</v>
      </c>
      <c r="B16" s="18" t="s">
        <v>35</v>
      </c>
      <c r="C16" s="18" t="s">
        <v>175</v>
      </c>
      <c r="D16" s="2">
        <v>2</v>
      </c>
      <c r="E16" s="18" t="s">
        <v>175</v>
      </c>
      <c r="F16" s="18" t="s">
        <v>175</v>
      </c>
      <c r="G16" s="2" t="s">
        <v>175</v>
      </c>
      <c r="H16" s="18" t="s">
        <v>175</v>
      </c>
      <c r="I16" s="18" t="s">
        <v>175</v>
      </c>
      <c r="J16" s="18" t="s">
        <v>151</v>
      </c>
      <c r="K16" s="18" t="s">
        <v>175</v>
      </c>
      <c r="L16" s="18" t="s">
        <v>175</v>
      </c>
      <c r="M16" s="18" t="s">
        <v>186</v>
      </c>
      <c r="N16" s="8" t="s">
        <v>175</v>
      </c>
      <c r="O16" s="18" t="s">
        <v>175</v>
      </c>
      <c r="P16" s="18" t="s">
        <v>335</v>
      </c>
      <c r="Q16" s="18" t="s">
        <v>175</v>
      </c>
    </row>
    <row r="17" spans="1:17" s="18" customFormat="1" x14ac:dyDescent="0.25">
      <c r="A17" s="18" t="s">
        <v>10</v>
      </c>
      <c r="B17" s="18" t="s">
        <v>35</v>
      </c>
      <c r="C17" s="18" t="s">
        <v>175</v>
      </c>
      <c r="D17" s="2">
        <v>3</v>
      </c>
      <c r="E17" s="18" t="s">
        <v>175</v>
      </c>
      <c r="F17" s="18" t="s">
        <v>175</v>
      </c>
      <c r="G17" s="2" t="s">
        <v>175</v>
      </c>
      <c r="H17" s="18" t="s">
        <v>175</v>
      </c>
      <c r="I17" s="18" t="s">
        <v>175</v>
      </c>
      <c r="J17" s="18" t="s">
        <v>150</v>
      </c>
      <c r="K17" s="18" t="s">
        <v>175</v>
      </c>
      <c r="L17" s="18" t="s">
        <v>175</v>
      </c>
      <c r="M17" s="18" t="s">
        <v>186</v>
      </c>
      <c r="N17" s="8" t="s">
        <v>175</v>
      </c>
      <c r="O17" s="18" t="s">
        <v>175</v>
      </c>
      <c r="P17" s="20" t="s">
        <v>335</v>
      </c>
      <c r="Q17" s="18" t="s">
        <v>175</v>
      </c>
    </row>
    <row r="18" spans="1:17" s="18" customFormat="1" x14ac:dyDescent="0.25">
      <c r="A18" s="18" t="s">
        <v>10</v>
      </c>
      <c r="B18" s="18" t="s">
        <v>35</v>
      </c>
      <c r="C18" s="18" t="s">
        <v>175</v>
      </c>
      <c r="D18" s="2">
        <v>4</v>
      </c>
      <c r="E18" s="18" t="s">
        <v>175</v>
      </c>
      <c r="F18" s="18" t="s">
        <v>175</v>
      </c>
      <c r="G18" s="2" t="s">
        <v>175</v>
      </c>
      <c r="H18" s="18" t="s">
        <v>175</v>
      </c>
      <c r="I18" s="18" t="s">
        <v>175</v>
      </c>
      <c r="J18" s="18" t="s">
        <v>149</v>
      </c>
      <c r="K18" s="18" t="s">
        <v>175</v>
      </c>
      <c r="L18" s="18" t="s">
        <v>175</v>
      </c>
      <c r="M18" s="18" t="s">
        <v>186</v>
      </c>
      <c r="N18" s="8" t="s">
        <v>175</v>
      </c>
      <c r="O18" s="18" t="s">
        <v>175</v>
      </c>
      <c r="P18" s="20" t="s">
        <v>335</v>
      </c>
      <c r="Q18" s="18" t="s">
        <v>175</v>
      </c>
    </row>
    <row r="19" spans="1:17" x14ac:dyDescent="0.25">
      <c r="A19" s="1" t="s">
        <v>10</v>
      </c>
      <c r="B19" s="1" t="s">
        <v>36</v>
      </c>
      <c r="C19" s="1" t="s">
        <v>40</v>
      </c>
      <c r="D19" s="2" t="s">
        <v>145</v>
      </c>
      <c r="E19" s="1" t="s">
        <v>40</v>
      </c>
      <c r="F19" s="1" t="s">
        <v>40</v>
      </c>
      <c r="G19" s="2" t="s">
        <v>148</v>
      </c>
      <c r="H19" s="1" t="s">
        <v>40</v>
      </c>
      <c r="I19" s="1" t="s">
        <v>40</v>
      </c>
      <c r="J19" s="1" t="s">
        <v>40</v>
      </c>
      <c r="K19" s="1" t="s">
        <v>40</v>
      </c>
      <c r="L19" s="1" t="s">
        <v>40</v>
      </c>
      <c r="M19" s="1" t="s">
        <v>48</v>
      </c>
      <c r="N19" s="8" t="s">
        <v>143</v>
      </c>
      <c r="O19" s="1" t="s">
        <v>331</v>
      </c>
      <c r="P19" s="11" t="s">
        <v>175</v>
      </c>
      <c r="Q19" s="11" t="s">
        <v>175</v>
      </c>
    </row>
    <row r="20" spans="1:17" s="10" customFormat="1" x14ac:dyDescent="0.25">
      <c r="A20" s="10" t="s">
        <v>10</v>
      </c>
      <c r="B20" s="10" t="s">
        <v>36</v>
      </c>
      <c r="C20" s="10" t="s">
        <v>175</v>
      </c>
      <c r="D20" s="2" t="s">
        <v>145</v>
      </c>
      <c r="E20" s="10" t="s">
        <v>175</v>
      </c>
      <c r="F20" s="10" t="s">
        <v>175</v>
      </c>
      <c r="G20" s="2">
        <v>7</v>
      </c>
      <c r="H20" s="10" t="s">
        <v>175</v>
      </c>
      <c r="I20" s="10" t="s">
        <v>175</v>
      </c>
      <c r="J20" s="10" t="s">
        <v>175</v>
      </c>
      <c r="K20" s="10" t="s">
        <v>175</v>
      </c>
      <c r="L20" s="10" t="s">
        <v>175</v>
      </c>
      <c r="M20" s="10" t="s">
        <v>177</v>
      </c>
      <c r="N20" s="8" t="s">
        <v>182</v>
      </c>
      <c r="O20" s="20" t="s">
        <v>331</v>
      </c>
      <c r="P20" s="11" t="s">
        <v>175</v>
      </c>
      <c r="Q20" s="11" t="s">
        <v>175</v>
      </c>
    </row>
    <row r="21" spans="1:17" x14ac:dyDescent="0.25">
      <c r="A21" s="1" t="s">
        <v>10</v>
      </c>
      <c r="B21" s="1" t="s">
        <v>37</v>
      </c>
      <c r="C21" s="1" t="s">
        <v>40</v>
      </c>
      <c r="D21" s="2" t="s">
        <v>145</v>
      </c>
      <c r="E21" s="1" t="s">
        <v>40</v>
      </c>
      <c r="F21" s="1" t="s">
        <v>40</v>
      </c>
      <c r="G21" s="2" t="s">
        <v>148</v>
      </c>
      <c r="H21" s="1" t="s">
        <v>40</v>
      </c>
      <c r="I21" s="1" t="s">
        <v>40</v>
      </c>
      <c r="J21" s="1" t="s">
        <v>40</v>
      </c>
      <c r="K21" s="1" t="s">
        <v>40</v>
      </c>
      <c r="L21" s="1" t="s">
        <v>40</v>
      </c>
      <c r="M21" s="1" t="s">
        <v>48</v>
      </c>
      <c r="N21" s="8" t="s">
        <v>77</v>
      </c>
      <c r="O21" s="1" t="s">
        <v>332</v>
      </c>
      <c r="P21" s="11" t="s">
        <v>175</v>
      </c>
      <c r="Q21" s="11" t="s">
        <v>175</v>
      </c>
    </row>
    <row r="22" spans="1:17" s="10" customFormat="1" x14ac:dyDescent="0.25">
      <c r="A22" s="10" t="s">
        <v>10</v>
      </c>
      <c r="B22" s="10" t="s">
        <v>37</v>
      </c>
      <c r="C22" s="10" t="s">
        <v>175</v>
      </c>
      <c r="D22" s="2" t="s">
        <v>145</v>
      </c>
      <c r="E22" s="10" t="s">
        <v>175</v>
      </c>
      <c r="F22" s="10" t="s">
        <v>175</v>
      </c>
      <c r="G22" s="2">
        <v>7</v>
      </c>
      <c r="H22" s="10" t="s">
        <v>175</v>
      </c>
      <c r="I22" s="10" t="s">
        <v>175</v>
      </c>
      <c r="J22" s="10" t="s">
        <v>175</v>
      </c>
      <c r="K22" s="10" t="s">
        <v>175</v>
      </c>
      <c r="L22" s="10" t="s">
        <v>175</v>
      </c>
      <c r="M22" s="10" t="s">
        <v>177</v>
      </c>
      <c r="N22" s="8" t="s">
        <v>183</v>
      </c>
      <c r="O22" s="20" t="s">
        <v>332</v>
      </c>
      <c r="P22" s="11" t="s">
        <v>175</v>
      </c>
      <c r="Q22" s="11" t="s">
        <v>175</v>
      </c>
    </row>
    <row r="23" spans="1:17" x14ac:dyDescent="0.25">
      <c r="A23" s="1" t="s">
        <v>10</v>
      </c>
      <c r="B23" s="1" t="s">
        <v>38</v>
      </c>
      <c r="C23" s="1" t="s">
        <v>40</v>
      </c>
      <c r="D23" s="2" t="s">
        <v>145</v>
      </c>
      <c r="E23" s="1" t="s">
        <v>40</v>
      </c>
      <c r="F23" s="1" t="s">
        <v>40</v>
      </c>
      <c r="G23" s="2" t="s">
        <v>148</v>
      </c>
      <c r="H23" s="1" t="s">
        <v>40</v>
      </c>
      <c r="I23" s="1" t="s">
        <v>40</v>
      </c>
      <c r="J23" s="1" t="s">
        <v>40</v>
      </c>
      <c r="K23" s="1" t="s">
        <v>40</v>
      </c>
      <c r="L23" s="1" t="s">
        <v>40</v>
      </c>
      <c r="M23" s="1" t="s">
        <v>48</v>
      </c>
      <c r="N23" s="8" t="s">
        <v>79</v>
      </c>
      <c r="O23" s="20" t="s">
        <v>328</v>
      </c>
      <c r="P23" s="11" t="s">
        <v>175</v>
      </c>
      <c r="Q23" s="11" t="s">
        <v>175</v>
      </c>
    </row>
    <row r="24" spans="1:17" s="10" customFormat="1" x14ac:dyDescent="0.25">
      <c r="A24" s="10" t="s">
        <v>10</v>
      </c>
      <c r="B24" s="10" t="s">
        <v>38</v>
      </c>
      <c r="C24" s="10" t="s">
        <v>175</v>
      </c>
      <c r="D24" s="2" t="s">
        <v>145</v>
      </c>
      <c r="E24" s="10" t="s">
        <v>175</v>
      </c>
      <c r="F24" s="10" t="s">
        <v>175</v>
      </c>
      <c r="G24" s="2">
        <v>7</v>
      </c>
      <c r="H24" s="10" t="s">
        <v>175</v>
      </c>
      <c r="I24" s="10" t="s">
        <v>175</v>
      </c>
      <c r="J24" s="10" t="s">
        <v>175</v>
      </c>
      <c r="K24" s="10" t="s">
        <v>175</v>
      </c>
      <c r="L24" s="10" t="s">
        <v>175</v>
      </c>
      <c r="M24" s="10" t="s">
        <v>177</v>
      </c>
      <c r="N24" s="8" t="s">
        <v>79</v>
      </c>
      <c r="O24" s="20" t="s">
        <v>328</v>
      </c>
      <c r="P24" s="11" t="s">
        <v>175</v>
      </c>
      <c r="Q24" s="11" t="s">
        <v>175</v>
      </c>
    </row>
    <row r="25" spans="1:17" x14ac:dyDescent="0.25">
      <c r="A25" s="1" t="s">
        <v>10</v>
      </c>
      <c r="B25" s="1" t="s">
        <v>39</v>
      </c>
      <c r="C25" s="1" t="s">
        <v>40</v>
      </c>
      <c r="D25" s="2">
        <v>4</v>
      </c>
      <c r="E25" s="1" t="s">
        <v>40</v>
      </c>
      <c r="F25" s="1" t="s">
        <v>40</v>
      </c>
      <c r="G25" s="1" t="s">
        <v>40</v>
      </c>
      <c r="H25" s="1" t="s">
        <v>40</v>
      </c>
      <c r="I25" s="1" t="s">
        <v>40</v>
      </c>
      <c r="J25" s="1" t="s">
        <v>149</v>
      </c>
      <c r="K25" s="1" t="s">
        <v>40</v>
      </c>
      <c r="L25" s="1" t="s">
        <v>40</v>
      </c>
      <c r="M25" s="1" t="s">
        <v>48</v>
      </c>
      <c r="N25" s="8" t="s">
        <v>80</v>
      </c>
      <c r="O25" s="1" t="s">
        <v>333</v>
      </c>
      <c r="P25" s="11" t="s">
        <v>175</v>
      </c>
      <c r="Q25" s="11" t="s">
        <v>175</v>
      </c>
    </row>
    <row r="26" spans="1:17" x14ac:dyDescent="0.25">
      <c r="A26" s="1" t="s">
        <v>10</v>
      </c>
      <c r="B26" s="1" t="s">
        <v>39</v>
      </c>
      <c r="C26" s="1" t="s">
        <v>40</v>
      </c>
      <c r="D26" s="1">
        <v>3</v>
      </c>
      <c r="E26" s="1" t="s">
        <v>40</v>
      </c>
      <c r="F26" s="1" t="s">
        <v>40</v>
      </c>
      <c r="G26" s="1" t="s">
        <v>40</v>
      </c>
      <c r="H26" s="1" t="s">
        <v>40</v>
      </c>
      <c r="I26" s="1" t="s">
        <v>40</v>
      </c>
      <c r="J26" s="1" t="s">
        <v>150</v>
      </c>
      <c r="K26" s="1" t="s">
        <v>40</v>
      </c>
      <c r="L26" s="1" t="s">
        <v>40</v>
      </c>
      <c r="M26" s="1" t="s">
        <v>48</v>
      </c>
      <c r="N26" s="8" t="s">
        <v>80</v>
      </c>
      <c r="O26" s="20" t="s">
        <v>333</v>
      </c>
      <c r="P26" s="11" t="s">
        <v>175</v>
      </c>
      <c r="Q26" s="11" t="s">
        <v>175</v>
      </c>
    </row>
    <row r="27" spans="1:17" x14ac:dyDescent="0.25">
      <c r="A27" s="1" t="s">
        <v>10</v>
      </c>
      <c r="B27" s="1" t="s">
        <v>39</v>
      </c>
      <c r="C27" s="1" t="s">
        <v>40</v>
      </c>
      <c r="D27" s="1">
        <v>2</v>
      </c>
      <c r="E27" s="10" t="s">
        <v>40</v>
      </c>
      <c r="F27" s="1" t="s">
        <v>40</v>
      </c>
      <c r="G27" s="1" t="s">
        <v>40</v>
      </c>
      <c r="H27" s="1" t="s">
        <v>40</v>
      </c>
      <c r="I27" s="1" t="s">
        <v>40</v>
      </c>
      <c r="J27" s="1" t="s">
        <v>151</v>
      </c>
      <c r="K27" s="1" t="s">
        <v>40</v>
      </c>
      <c r="L27" s="1" t="s">
        <v>40</v>
      </c>
      <c r="M27" s="1" t="s">
        <v>48</v>
      </c>
      <c r="N27" s="8" t="s">
        <v>80</v>
      </c>
      <c r="O27" s="20" t="s">
        <v>333</v>
      </c>
      <c r="P27" s="11" t="s">
        <v>175</v>
      </c>
      <c r="Q27" s="11" t="s">
        <v>175</v>
      </c>
    </row>
    <row r="28" spans="1:17" x14ac:dyDescent="0.25">
      <c r="A28" s="1" t="s">
        <v>10</v>
      </c>
      <c r="B28" s="1" t="s">
        <v>39</v>
      </c>
      <c r="C28" s="1" t="s">
        <v>40</v>
      </c>
      <c r="D28" s="2">
        <v>4</v>
      </c>
      <c r="E28" s="1" t="s">
        <v>40</v>
      </c>
      <c r="F28" s="1" t="s">
        <v>152</v>
      </c>
      <c r="G28" s="1" t="s">
        <v>40</v>
      </c>
      <c r="H28" s="1" t="s">
        <v>40</v>
      </c>
      <c r="I28" s="1" t="s">
        <v>40</v>
      </c>
      <c r="J28" s="1" t="s">
        <v>40</v>
      </c>
      <c r="K28" s="1" t="s">
        <v>40</v>
      </c>
      <c r="L28" s="1" t="s">
        <v>40</v>
      </c>
      <c r="M28" s="1" t="s">
        <v>48</v>
      </c>
      <c r="N28" s="8" t="s">
        <v>81</v>
      </c>
      <c r="O28" s="20" t="s">
        <v>333</v>
      </c>
      <c r="P28" s="11" t="s">
        <v>175</v>
      </c>
      <c r="Q28" s="11" t="s">
        <v>175</v>
      </c>
    </row>
    <row r="29" spans="1:17" x14ac:dyDescent="0.25">
      <c r="A29" s="1" t="s">
        <v>10</v>
      </c>
      <c r="B29" s="1" t="s">
        <v>39</v>
      </c>
      <c r="C29" s="1" t="s">
        <v>40</v>
      </c>
      <c r="D29" s="1">
        <v>3</v>
      </c>
      <c r="E29" s="1" t="s">
        <v>40</v>
      </c>
      <c r="F29" s="1" t="s">
        <v>153</v>
      </c>
      <c r="G29" s="1" t="s">
        <v>40</v>
      </c>
      <c r="H29" s="1" t="s">
        <v>40</v>
      </c>
      <c r="I29" s="1" t="s">
        <v>40</v>
      </c>
      <c r="J29" s="1" t="s">
        <v>40</v>
      </c>
      <c r="K29" s="1" t="s">
        <v>40</v>
      </c>
      <c r="L29" s="1" t="s">
        <v>40</v>
      </c>
      <c r="M29" s="1" t="s">
        <v>48</v>
      </c>
      <c r="N29" s="8" t="s">
        <v>81</v>
      </c>
      <c r="O29" s="20" t="s">
        <v>333</v>
      </c>
      <c r="P29" s="11" t="s">
        <v>175</v>
      </c>
      <c r="Q29" s="11" t="s">
        <v>175</v>
      </c>
    </row>
    <row r="30" spans="1:17" x14ac:dyDescent="0.25">
      <c r="A30" s="1" t="s">
        <v>10</v>
      </c>
      <c r="B30" s="1" t="s">
        <v>39</v>
      </c>
      <c r="C30" s="1" t="s">
        <v>40</v>
      </c>
      <c r="D30" s="1">
        <v>2</v>
      </c>
      <c r="E30" s="1" t="s">
        <v>40</v>
      </c>
      <c r="F30" s="1" t="s">
        <v>154</v>
      </c>
      <c r="G30" s="1" t="s">
        <v>40</v>
      </c>
      <c r="H30" s="1" t="s">
        <v>40</v>
      </c>
      <c r="I30" s="1" t="s">
        <v>40</v>
      </c>
      <c r="J30" s="1" t="s">
        <v>40</v>
      </c>
      <c r="K30" s="1" t="s">
        <v>40</v>
      </c>
      <c r="L30" s="1" t="s">
        <v>40</v>
      </c>
      <c r="M30" s="1" t="s">
        <v>48</v>
      </c>
      <c r="N30" s="8" t="s">
        <v>81</v>
      </c>
      <c r="O30" s="20" t="s">
        <v>333</v>
      </c>
      <c r="P30" s="11" t="s">
        <v>175</v>
      </c>
      <c r="Q30" s="11" t="s">
        <v>175</v>
      </c>
    </row>
    <row r="31" spans="1:17" x14ac:dyDescent="0.25">
      <c r="A31" s="1" t="s">
        <v>10</v>
      </c>
      <c r="B31" s="1" t="s">
        <v>39</v>
      </c>
      <c r="C31" s="1" t="s">
        <v>40</v>
      </c>
      <c r="D31" s="1" t="s">
        <v>145</v>
      </c>
      <c r="E31" s="1" t="s">
        <v>40</v>
      </c>
      <c r="F31" s="1" t="s">
        <v>40</v>
      </c>
      <c r="G31" s="2" t="s">
        <v>148</v>
      </c>
      <c r="H31" s="1" t="s">
        <v>40</v>
      </c>
      <c r="I31" s="1" t="s">
        <v>40</v>
      </c>
      <c r="J31" s="1" t="s">
        <v>40</v>
      </c>
      <c r="K31" s="1" t="s">
        <v>40</v>
      </c>
      <c r="L31" s="1" t="s">
        <v>40</v>
      </c>
      <c r="M31" s="1" t="s">
        <v>48</v>
      </c>
      <c r="N31" s="8" t="s">
        <v>82</v>
      </c>
      <c r="O31" s="20" t="s">
        <v>331</v>
      </c>
      <c r="P31" s="11" t="s">
        <v>175</v>
      </c>
      <c r="Q31" s="11" t="s">
        <v>175</v>
      </c>
    </row>
    <row r="32" spans="1:17" s="10" customFormat="1" x14ac:dyDescent="0.25">
      <c r="A32" s="10" t="s">
        <v>10</v>
      </c>
      <c r="B32" s="10" t="s">
        <v>39</v>
      </c>
      <c r="C32" s="10" t="s">
        <v>175</v>
      </c>
      <c r="D32" s="2">
        <v>4</v>
      </c>
      <c r="E32" s="10" t="s">
        <v>175</v>
      </c>
      <c r="F32" s="10" t="s">
        <v>175</v>
      </c>
      <c r="G32" s="2" t="s">
        <v>175</v>
      </c>
      <c r="H32" s="10" t="s">
        <v>175</v>
      </c>
      <c r="I32" s="10" t="s">
        <v>175</v>
      </c>
      <c r="J32" s="10" t="s">
        <v>149</v>
      </c>
      <c r="K32" s="10" t="s">
        <v>175</v>
      </c>
      <c r="L32" s="10" t="s">
        <v>175</v>
      </c>
      <c r="M32" s="10" t="s">
        <v>177</v>
      </c>
      <c r="N32" s="8" t="s">
        <v>80</v>
      </c>
      <c r="O32" s="20" t="s">
        <v>333</v>
      </c>
      <c r="P32" s="11" t="s">
        <v>175</v>
      </c>
      <c r="Q32" s="11" t="s">
        <v>175</v>
      </c>
    </row>
    <row r="33" spans="1:17" s="10" customFormat="1" x14ac:dyDescent="0.25">
      <c r="A33" s="10" t="s">
        <v>10</v>
      </c>
      <c r="B33" s="10" t="s">
        <v>39</v>
      </c>
      <c r="C33" s="10" t="s">
        <v>175</v>
      </c>
      <c r="D33" s="10">
        <v>3</v>
      </c>
      <c r="E33" s="10" t="s">
        <v>175</v>
      </c>
      <c r="F33" s="10" t="s">
        <v>175</v>
      </c>
      <c r="G33" s="2" t="s">
        <v>175</v>
      </c>
      <c r="H33" s="10" t="s">
        <v>175</v>
      </c>
      <c r="I33" s="10" t="s">
        <v>175</v>
      </c>
      <c r="J33" s="10" t="s">
        <v>150</v>
      </c>
      <c r="K33" s="10" t="s">
        <v>175</v>
      </c>
      <c r="L33" s="10" t="s">
        <v>175</v>
      </c>
      <c r="M33" s="10" t="s">
        <v>177</v>
      </c>
      <c r="N33" s="8" t="s">
        <v>80</v>
      </c>
      <c r="O33" s="20" t="s">
        <v>333</v>
      </c>
      <c r="P33" s="11" t="s">
        <v>175</v>
      </c>
      <c r="Q33" s="11" t="s">
        <v>175</v>
      </c>
    </row>
    <row r="34" spans="1:17" s="10" customFormat="1" x14ac:dyDescent="0.25">
      <c r="A34" s="10" t="s">
        <v>10</v>
      </c>
      <c r="B34" s="10" t="s">
        <v>39</v>
      </c>
      <c r="C34" s="10" t="s">
        <v>175</v>
      </c>
      <c r="D34" s="10">
        <v>2</v>
      </c>
      <c r="E34" s="10" t="s">
        <v>175</v>
      </c>
      <c r="F34" s="10" t="s">
        <v>175</v>
      </c>
      <c r="G34" s="2" t="s">
        <v>175</v>
      </c>
      <c r="H34" s="10" t="s">
        <v>175</v>
      </c>
      <c r="I34" s="10" t="s">
        <v>175</v>
      </c>
      <c r="J34" s="10" t="s">
        <v>151</v>
      </c>
      <c r="K34" s="10" t="s">
        <v>175</v>
      </c>
      <c r="L34" s="10" t="s">
        <v>175</v>
      </c>
      <c r="M34" s="10" t="s">
        <v>177</v>
      </c>
      <c r="N34" s="8" t="s">
        <v>80</v>
      </c>
      <c r="O34" s="20" t="s">
        <v>333</v>
      </c>
      <c r="P34" s="11" t="s">
        <v>175</v>
      </c>
      <c r="Q34" s="11" t="s">
        <v>175</v>
      </c>
    </row>
    <row r="35" spans="1:17" s="10" customFormat="1" x14ac:dyDescent="0.25">
      <c r="A35" s="10" t="s">
        <v>10</v>
      </c>
      <c r="B35" s="10" t="s">
        <v>39</v>
      </c>
      <c r="C35" s="10" t="s">
        <v>175</v>
      </c>
      <c r="D35" s="2">
        <v>4</v>
      </c>
      <c r="E35" s="10" t="s">
        <v>175</v>
      </c>
      <c r="F35" s="10" t="s">
        <v>152</v>
      </c>
      <c r="G35" s="2" t="s">
        <v>175</v>
      </c>
      <c r="H35" s="10" t="s">
        <v>175</v>
      </c>
      <c r="I35" s="10" t="s">
        <v>175</v>
      </c>
      <c r="J35" s="10" t="s">
        <v>175</v>
      </c>
      <c r="K35" s="10" t="s">
        <v>175</v>
      </c>
      <c r="L35" s="10" t="s">
        <v>175</v>
      </c>
      <c r="M35" s="10" t="s">
        <v>177</v>
      </c>
      <c r="N35" s="8" t="s">
        <v>81</v>
      </c>
      <c r="O35" s="20" t="s">
        <v>333</v>
      </c>
      <c r="P35" s="11" t="s">
        <v>175</v>
      </c>
      <c r="Q35" s="11" t="s">
        <v>175</v>
      </c>
    </row>
    <row r="36" spans="1:17" s="10" customFormat="1" x14ac:dyDescent="0.25">
      <c r="A36" s="10" t="s">
        <v>10</v>
      </c>
      <c r="B36" s="10" t="s">
        <v>39</v>
      </c>
      <c r="C36" s="10" t="s">
        <v>175</v>
      </c>
      <c r="D36" s="10">
        <v>3</v>
      </c>
      <c r="E36" s="10" t="s">
        <v>175</v>
      </c>
      <c r="F36" s="10" t="s">
        <v>153</v>
      </c>
      <c r="G36" s="2" t="s">
        <v>175</v>
      </c>
      <c r="H36" s="11" t="s">
        <v>175</v>
      </c>
      <c r="I36" s="10" t="s">
        <v>175</v>
      </c>
      <c r="J36" s="10" t="s">
        <v>175</v>
      </c>
      <c r="K36" s="10" t="s">
        <v>175</v>
      </c>
      <c r="L36" s="10" t="s">
        <v>175</v>
      </c>
      <c r="M36" s="10" t="s">
        <v>177</v>
      </c>
      <c r="N36" s="8" t="s">
        <v>81</v>
      </c>
      <c r="O36" s="20" t="s">
        <v>333</v>
      </c>
      <c r="P36" s="11" t="s">
        <v>175</v>
      </c>
      <c r="Q36" s="11" t="s">
        <v>175</v>
      </c>
    </row>
    <row r="37" spans="1:17" s="10" customFormat="1" x14ac:dyDescent="0.25">
      <c r="A37" s="10" t="s">
        <v>10</v>
      </c>
      <c r="B37" s="10" t="s">
        <v>39</v>
      </c>
      <c r="C37" s="10" t="s">
        <v>175</v>
      </c>
      <c r="D37" s="10">
        <v>2</v>
      </c>
      <c r="E37" s="10" t="s">
        <v>175</v>
      </c>
      <c r="F37" s="10" t="s">
        <v>154</v>
      </c>
      <c r="G37" s="2" t="s">
        <v>175</v>
      </c>
      <c r="H37" s="11" t="s">
        <v>175</v>
      </c>
      <c r="I37" s="10" t="s">
        <v>175</v>
      </c>
      <c r="J37" s="10" t="s">
        <v>175</v>
      </c>
      <c r="K37" s="10" t="s">
        <v>175</v>
      </c>
      <c r="L37" s="10" t="s">
        <v>175</v>
      </c>
      <c r="M37" s="10" t="s">
        <v>177</v>
      </c>
      <c r="N37" s="8" t="s">
        <v>81</v>
      </c>
      <c r="O37" s="20" t="s">
        <v>333</v>
      </c>
      <c r="P37" s="11" t="s">
        <v>175</v>
      </c>
      <c r="Q37" s="11" t="s">
        <v>175</v>
      </c>
    </row>
    <row r="38" spans="1:17" s="10" customFormat="1" x14ac:dyDescent="0.25">
      <c r="A38" s="10" t="s">
        <v>10</v>
      </c>
      <c r="B38" s="10" t="s">
        <v>39</v>
      </c>
      <c r="C38" s="10" t="s">
        <v>175</v>
      </c>
      <c r="D38" s="10" t="s">
        <v>145</v>
      </c>
      <c r="E38" s="10" t="s">
        <v>175</v>
      </c>
      <c r="F38" s="10" t="s">
        <v>175</v>
      </c>
      <c r="G38" s="2">
        <v>7</v>
      </c>
      <c r="H38" s="10" t="s">
        <v>175</v>
      </c>
      <c r="I38" s="10" t="s">
        <v>175</v>
      </c>
      <c r="J38" s="10" t="s">
        <v>175</v>
      </c>
      <c r="K38" s="10" t="s">
        <v>175</v>
      </c>
      <c r="L38" s="10" t="s">
        <v>175</v>
      </c>
      <c r="M38" s="10" t="s">
        <v>177</v>
      </c>
      <c r="N38" s="8" t="s">
        <v>82</v>
      </c>
      <c r="O38" s="20" t="s">
        <v>331</v>
      </c>
      <c r="P38" s="11" t="s">
        <v>175</v>
      </c>
      <c r="Q38" s="11" t="s">
        <v>175</v>
      </c>
    </row>
    <row r="39" spans="1:17" x14ac:dyDescent="0.25">
      <c r="A39" s="1" t="s">
        <v>10</v>
      </c>
      <c r="B39" s="1" t="s">
        <v>83</v>
      </c>
      <c r="C39" s="1" t="s">
        <v>40</v>
      </c>
      <c r="D39" s="1" t="s">
        <v>40</v>
      </c>
      <c r="E39" s="1" t="s">
        <v>40</v>
      </c>
      <c r="F39" s="1" t="s">
        <v>40</v>
      </c>
      <c r="G39" s="2" t="s">
        <v>40</v>
      </c>
      <c r="H39" s="1" t="s">
        <v>40</v>
      </c>
      <c r="I39" s="1" t="s">
        <v>40</v>
      </c>
      <c r="J39" s="1" t="s">
        <v>40</v>
      </c>
      <c r="K39" s="1" t="s">
        <v>40</v>
      </c>
      <c r="L39" s="1" t="s">
        <v>40</v>
      </c>
      <c r="M39" s="1" t="s">
        <v>48</v>
      </c>
      <c r="N39" s="8" t="s">
        <v>84</v>
      </c>
      <c r="O39" s="1" t="s">
        <v>334</v>
      </c>
      <c r="P39" s="11" t="s">
        <v>175</v>
      </c>
      <c r="Q39" s="11" t="s">
        <v>175</v>
      </c>
    </row>
    <row r="40" spans="1:17" x14ac:dyDescent="0.25">
      <c r="A40" s="1" t="s">
        <v>10</v>
      </c>
      <c r="B40" s="1" t="s">
        <v>83</v>
      </c>
      <c r="C40" s="1" t="s">
        <v>175</v>
      </c>
      <c r="D40" s="1" t="s">
        <v>175</v>
      </c>
      <c r="E40" s="1" t="s">
        <v>175</v>
      </c>
      <c r="F40" s="1" t="s">
        <v>175</v>
      </c>
      <c r="G40" s="1" t="s">
        <v>175</v>
      </c>
      <c r="H40" s="1" t="s">
        <v>175</v>
      </c>
      <c r="I40" s="1" t="s">
        <v>175</v>
      </c>
      <c r="J40" s="1" t="s">
        <v>175</v>
      </c>
      <c r="K40" s="1" t="s">
        <v>175</v>
      </c>
      <c r="L40" s="1" t="s">
        <v>175</v>
      </c>
      <c r="M40" s="10" t="s">
        <v>48</v>
      </c>
      <c r="N40" s="8" t="s">
        <v>84</v>
      </c>
      <c r="O40" s="20" t="s">
        <v>334</v>
      </c>
      <c r="P40" s="11" t="s">
        <v>175</v>
      </c>
      <c r="Q40" s="11" t="s">
        <v>175</v>
      </c>
    </row>
    <row r="41" spans="1:17" x14ac:dyDescent="0.25">
      <c r="O41" s="19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ScriptFile">
                <anchor moveWithCells="1" sizeWithCells="1">
                  <from>
                    <xdr:col>0</xdr:col>
                    <xdr:colOff>209550</xdr:colOff>
                    <xdr:row>0</xdr:row>
                    <xdr:rowOff>152400</xdr:rowOff>
                  </from>
                  <to>
                    <xdr:col>1</xdr:col>
                    <xdr:colOff>923925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reateEnum">
                <anchor moveWithCells="1" sizeWithCells="1">
                  <from>
                    <xdr:col>1</xdr:col>
                    <xdr:colOff>1143000</xdr:colOff>
                    <xdr:row>0</xdr:row>
                    <xdr:rowOff>142875</xdr:rowOff>
                  </from>
                  <to>
                    <xdr:col>2</xdr:col>
                    <xdr:colOff>952500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84E33E-E216-4E0C-A193-92B9F001E00C}">
          <x14:formula1>
            <xm:f>_Setting!$B$122:$B$124</xm:f>
          </x14:formula1>
          <xm:sqref>M6:M516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B9B1-7938-4337-A0BE-3FE53FB78233}">
  <sheetPr codeName="工作表3"/>
  <dimension ref="A1:D4"/>
  <sheetViews>
    <sheetView workbookViewId="0">
      <selection activeCell="J15" sqref="J15"/>
    </sheetView>
  </sheetViews>
  <sheetFormatPr defaultRowHeight="16.5" x14ac:dyDescent="0.25"/>
  <cols>
    <col min="1" max="1" width="5.625" customWidth="1"/>
    <col min="2" max="2" width="12.125" customWidth="1"/>
    <col min="3" max="3" width="12.75" customWidth="1"/>
    <col min="4" max="4" width="23.125" customWidth="1"/>
    <col min="5" max="7" width="9.5" bestFit="1" customWidth="1"/>
  </cols>
  <sheetData>
    <row r="1" spans="1:4" x14ac:dyDescent="0.25">
      <c r="B1" s="21" t="s">
        <v>128</v>
      </c>
      <c r="C1" s="21"/>
      <c r="D1" s="21"/>
    </row>
    <row r="2" spans="1:4" x14ac:dyDescent="0.25">
      <c r="A2" t="s">
        <v>129</v>
      </c>
      <c r="B2" t="str">
        <f>SetDropDown(B$3:B$10, "條件對象",GetAddressByFlag("condition",2))</f>
        <v>條件對象</v>
      </c>
      <c r="C2" t="str">
        <f>SetDropDown(C$3:C$10, "邏輯判斷", GetAddressBySearch("LogicalType",1))</f>
        <v>邏輯判斷</v>
      </c>
      <c r="D2" t="s">
        <v>130</v>
      </c>
    </row>
    <row r="3" spans="1:4" ht="49.5" x14ac:dyDescent="0.25">
      <c r="A3">
        <v>1</v>
      </c>
      <c r="B3" t="s">
        <v>170</v>
      </c>
      <c r="C3" t="s">
        <v>172</v>
      </c>
      <c r="D3" s="9" t="s">
        <v>173</v>
      </c>
    </row>
    <row r="4" spans="1:4" x14ac:dyDescent="0.25">
      <c r="A4">
        <v>2</v>
      </c>
      <c r="B4" t="s">
        <v>171</v>
      </c>
      <c r="C4" t="s">
        <v>167</v>
      </c>
    </row>
  </sheetData>
  <mergeCells count="1">
    <mergeCell ref="B1:D1"/>
  </mergeCells>
  <phoneticPr fontId="1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CF077F6-583E-4A74-A62B-B7E6C78724E9}">
          <x14:formula1>
            <xm:f>_Setting!$B$145:$B$149</xm:f>
          </x14:formula1>
          <xm:sqref>C3:C10</xm:sqref>
        </x14:dataValidation>
        <x14:dataValidation type="list" allowBlank="1" showInputMessage="1" showErrorMessage="1" xr:uid="{32CF385C-785F-4B78-A23E-D05DCE63595D}">
          <x14:formula1>
            <xm:f>notification_condition!$B$3:$L$3</xm:f>
          </x14:formula1>
          <xm:sqref>B3:B10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16227-DCA3-4FAB-8881-2531BADACD7B}">
  <sheetPr codeName="工作表2"/>
  <dimension ref="A1:D149"/>
  <sheetViews>
    <sheetView topLeftCell="A48" workbookViewId="0">
      <selection activeCell="C67" sqref="C67"/>
    </sheetView>
  </sheetViews>
  <sheetFormatPr defaultColWidth="23.125" defaultRowHeight="16.5" x14ac:dyDescent="0.25"/>
  <cols>
    <col min="1" max="1" width="25.375" style="14" customWidth="1"/>
    <col min="2" max="3" width="28" style="14" customWidth="1"/>
    <col min="4" max="16384" width="23.125" style="14"/>
  </cols>
  <sheetData>
    <row r="1" spans="1:4" x14ac:dyDescent="0.25">
      <c r="A1" s="13" t="s">
        <v>49</v>
      </c>
    </row>
    <row r="2" spans="1:4" x14ac:dyDescent="0.25">
      <c r="A2" s="14" t="s">
        <v>97</v>
      </c>
      <c r="B2" s="14" t="s">
        <v>75</v>
      </c>
    </row>
    <row r="3" spans="1:4" x14ac:dyDescent="0.25">
      <c r="A3" s="14" t="s">
        <v>98</v>
      </c>
      <c r="B3" s="14" t="s">
        <v>160</v>
      </c>
    </row>
    <row r="4" spans="1:4" x14ac:dyDescent="0.25">
      <c r="A4" s="14" t="s">
        <v>99</v>
      </c>
      <c r="B4" s="14" t="s">
        <v>100</v>
      </c>
    </row>
    <row r="6" spans="1:4" x14ac:dyDescent="0.25">
      <c r="A6" s="13" t="s">
        <v>50</v>
      </c>
    </row>
    <row r="7" spans="1:4" x14ac:dyDescent="0.25">
      <c r="A7" s="14" t="s">
        <v>62</v>
      </c>
      <c r="B7" s="14" t="s">
        <v>61</v>
      </c>
    </row>
    <row r="8" spans="1:4" x14ac:dyDescent="0.25">
      <c r="A8" s="14" t="s">
        <v>51</v>
      </c>
      <c r="B8" s="14" t="s">
        <v>52</v>
      </c>
      <c r="C8" s="14" t="s">
        <v>53</v>
      </c>
      <c r="D8" s="14" t="s">
        <v>54</v>
      </c>
    </row>
    <row r="9" spans="1:4" x14ac:dyDescent="0.25">
      <c r="A9" s="14" t="s">
        <v>55</v>
      </c>
      <c r="B9" s="14" t="s">
        <v>59</v>
      </c>
    </row>
    <row r="10" spans="1:4" x14ac:dyDescent="0.25">
      <c r="A10" s="14" t="s">
        <v>106</v>
      </c>
      <c r="B10" s="14" t="s">
        <v>60</v>
      </c>
    </row>
    <row r="11" spans="1:4" x14ac:dyDescent="0.25">
      <c r="A11" s="14" t="s">
        <v>107</v>
      </c>
    </row>
    <row r="13" spans="1:4" x14ac:dyDescent="0.25">
      <c r="A13" s="13" t="s">
        <v>101</v>
      </c>
    </row>
    <row r="14" spans="1:4" x14ac:dyDescent="0.25">
      <c r="A14" s="14" t="s">
        <v>88</v>
      </c>
      <c r="B14" s="14" t="s">
        <v>89</v>
      </c>
    </row>
    <row r="15" spans="1:4" x14ac:dyDescent="0.25">
      <c r="A15" s="14" t="s">
        <v>103</v>
      </c>
      <c r="B15" s="14" t="s">
        <v>104</v>
      </c>
    </row>
    <row r="16" spans="1:4" x14ac:dyDescent="0.25">
      <c r="A16" s="14" t="s">
        <v>102</v>
      </c>
      <c r="B16" s="14" t="s">
        <v>105</v>
      </c>
    </row>
    <row r="17" spans="1:3" x14ac:dyDescent="0.25">
      <c r="A17" s="14" t="s">
        <v>108</v>
      </c>
      <c r="B17" s="14" t="s">
        <v>109</v>
      </c>
    </row>
    <row r="19" spans="1:3" x14ac:dyDescent="0.25">
      <c r="A19" s="13" t="s">
        <v>137</v>
      </c>
    </row>
    <row r="20" spans="1:3" x14ac:dyDescent="0.25">
      <c r="A20" s="14" t="s">
        <v>308</v>
      </c>
      <c r="B20" s="14" t="s">
        <v>138</v>
      </c>
    </row>
    <row r="21" spans="1:3" x14ac:dyDescent="0.25">
      <c r="A21" s="14" t="s">
        <v>306</v>
      </c>
      <c r="B21" s="14" t="s">
        <v>311</v>
      </c>
    </row>
    <row r="22" spans="1:3" x14ac:dyDescent="0.25">
      <c r="A22" s="14" t="s">
        <v>305</v>
      </c>
      <c r="B22" s="14" t="s">
        <v>307</v>
      </c>
    </row>
    <row r="23" spans="1:3" x14ac:dyDescent="0.25">
      <c r="A23" s="14" t="s">
        <v>178</v>
      </c>
      <c r="B23" s="14" t="s">
        <v>179</v>
      </c>
    </row>
    <row r="24" spans="1:3" x14ac:dyDescent="0.25">
      <c r="A24" s="14" t="s">
        <v>180</v>
      </c>
      <c r="B24" s="14" t="s">
        <v>179</v>
      </c>
    </row>
    <row r="26" spans="1:3" x14ac:dyDescent="0.25">
      <c r="A26" s="15" t="s">
        <v>92</v>
      </c>
      <c r="B26" s="14" t="s">
        <v>314</v>
      </c>
      <c r="C26" s="14" t="s">
        <v>304</v>
      </c>
    </row>
    <row r="27" spans="1:3" x14ac:dyDescent="0.25">
      <c r="A27" s="14">
        <v>0</v>
      </c>
      <c r="B27" s="14">
        <v>1</v>
      </c>
      <c r="C27" s="14" t="s">
        <v>17</v>
      </c>
    </row>
    <row r="28" spans="1:3" x14ac:dyDescent="0.25">
      <c r="A28" s="14">
        <v>1</v>
      </c>
      <c r="B28" s="14">
        <v>2</v>
      </c>
      <c r="C28" s="14" t="s">
        <v>18</v>
      </c>
    </row>
    <row r="29" spans="1:3" x14ac:dyDescent="0.25">
      <c r="A29" s="14">
        <v>2</v>
      </c>
      <c r="B29" s="14">
        <v>3</v>
      </c>
      <c r="C29" s="14" t="s">
        <v>19</v>
      </c>
    </row>
    <row r="30" spans="1:3" x14ac:dyDescent="0.25">
      <c r="A30" s="14">
        <v>3</v>
      </c>
      <c r="B30" s="14">
        <v>4</v>
      </c>
      <c r="C30" s="14" t="s">
        <v>20</v>
      </c>
    </row>
    <row r="32" spans="1:3" x14ac:dyDescent="0.25">
      <c r="A32" s="15" t="s">
        <v>63</v>
      </c>
      <c r="B32" s="14" t="s">
        <v>313</v>
      </c>
      <c r="C32" s="14" t="s">
        <v>309</v>
      </c>
    </row>
    <row r="33" spans="1:3" x14ac:dyDescent="0.25">
      <c r="A33" s="14">
        <v>0</v>
      </c>
      <c r="B33" s="14">
        <v>0</v>
      </c>
      <c r="C33" s="14" t="s">
        <v>33</v>
      </c>
    </row>
    <row r="34" spans="1:3" x14ac:dyDescent="0.25">
      <c r="A34" s="14">
        <v>1</v>
      </c>
      <c r="B34" s="14">
        <v>1</v>
      </c>
      <c r="C34" s="14" t="s">
        <v>21</v>
      </c>
    </row>
    <row r="35" spans="1:3" x14ac:dyDescent="0.25">
      <c r="A35" s="14">
        <v>2</v>
      </c>
      <c r="B35" s="14">
        <v>2</v>
      </c>
      <c r="C35" s="14" t="s">
        <v>22</v>
      </c>
    </row>
    <row r="36" spans="1:3" x14ac:dyDescent="0.25">
      <c r="A36" s="14">
        <v>3</v>
      </c>
      <c r="B36" s="14">
        <v>3</v>
      </c>
      <c r="C36" s="14" t="s">
        <v>23</v>
      </c>
    </row>
    <row r="37" spans="1:3" x14ac:dyDescent="0.25">
      <c r="A37" s="14">
        <v>4</v>
      </c>
      <c r="B37" s="14">
        <v>4</v>
      </c>
      <c r="C37" s="14" t="s">
        <v>24</v>
      </c>
    </row>
    <row r="38" spans="1:3" x14ac:dyDescent="0.25">
      <c r="A38" s="14">
        <v>5</v>
      </c>
      <c r="B38" s="14">
        <v>5</v>
      </c>
      <c r="C38" s="14" t="s">
        <v>25</v>
      </c>
    </row>
    <row r="39" spans="1:3" x14ac:dyDescent="0.25">
      <c r="A39" s="14">
        <v>6</v>
      </c>
      <c r="B39" s="14">
        <v>6</v>
      </c>
      <c r="C39" s="14" t="s">
        <v>26</v>
      </c>
    </row>
    <row r="40" spans="1:3" x14ac:dyDescent="0.25">
      <c r="A40" s="14">
        <v>7</v>
      </c>
      <c r="B40" s="14">
        <v>7</v>
      </c>
      <c r="C40" s="14" t="s">
        <v>27</v>
      </c>
    </row>
    <row r="41" spans="1:3" x14ac:dyDescent="0.25">
      <c r="A41" s="14">
        <v>8</v>
      </c>
      <c r="B41" s="14">
        <v>8</v>
      </c>
      <c r="C41" s="14" t="s">
        <v>28</v>
      </c>
    </row>
    <row r="42" spans="1:3" x14ac:dyDescent="0.25">
      <c r="A42" s="14">
        <v>9</v>
      </c>
      <c r="B42" s="14">
        <v>9</v>
      </c>
      <c r="C42" s="14" t="s">
        <v>29</v>
      </c>
    </row>
    <row r="43" spans="1:3" x14ac:dyDescent="0.25">
      <c r="A43" s="14">
        <v>10</v>
      </c>
      <c r="B43" s="14">
        <v>10</v>
      </c>
      <c r="C43" s="14" t="s">
        <v>30</v>
      </c>
    </row>
    <row r="44" spans="1:3" x14ac:dyDescent="0.25">
      <c r="A44" s="14">
        <v>11</v>
      </c>
      <c r="B44" s="14">
        <v>11</v>
      </c>
      <c r="C44" s="14" t="s">
        <v>31</v>
      </c>
    </row>
    <row r="45" spans="1:3" x14ac:dyDescent="0.25">
      <c r="A45" s="14">
        <v>12</v>
      </c>
      <c r="B45" s="14">
        <v>12</v>
      </c>
      <c r="C45" s="14" t="s">
        <v>32</v>
      </c>
    </row>
    <row r="47" spans="1:3" ht="33" x14ac:dyDescent="0.25">
      <c r="A47" s="15" t="s">
        <v>300</v>
      </c>
      <c r="B47" s="8" t="s">
        <v>310</v>
      </c>
    </row>
    <row r="48" spans="1:3" x14ac:dyDescent="0.25">
      <c r="A48" s="14">
        <v>0</v>
      </c>
      <c r="B48" s="14" t="s">
        <v>193</v>
      </c>
      <c r="C48" s="14" t="s">
        <v>74</v>
      </c>
    </row>
    <row r="49" spans="1:3" x14ac:dyDescent="0.25">
      <c r="A49" s="14">
        <v>1</v>
      </c>
      <c r="B49" s="14" t="s">
        <v>194</v>
      </c>
      <c r="C49" s="14" t="s">
        <v>64</v>
      </c>
    </row>
    <row r="50" spans="1:3" x14ac:dyDescent="0.25">
      <c r="A50" s="14">
        <v>2</v>
      </c>
      <c r="B50" s="14" t="s">
        <v>195</v>
      </c>
      <c r="C50" s="14" t="s">
        <v>65</v>
      </c>
    </row>
    <row r="51" spans="1:3" x14ac:dyDescent="0.25">
      <c r="A51" s="14">
        <v>3</v>
      </c>
      <c r="B51" s="14" t="s">
        <v>196</v>
      </c>
      <c r="C51" s="14" t="s">
        <v>66</v>
      </c>
    </row>
    <row r="52" spans="1:3" x14ac:dyDescent="0.25">
      <c r="A52" s="14">
        <v>4</v>
      </c>
      <c r="B52" s="14" t="s">
        <v>197</v>
      </c>
      <c r="C52" s="14" t="s">
        <v>207</v>
      </c>
    </row>
    <row r="53" spans="1:3" x14ac:dyDescent="0.25">
      <c r="A53" s="14">
        <v>5</v>
      </c>
      <c r="B53" s="14" t="s">
        <v>198</v>
      </c>
      <c r="C53" s="14" t="s">
        <v>67</v>
      </c>
    </row>
    <row r="54" spans="1:3" x14ac:dyDescent="0.25">
      <c r="A54" s="14">
        <v>6</v>
      </c>
      <c r="B54" s="14" t="s">
        <v>199</v>
      </c>
      <c r="C54" s="14" t="s">
        <v>68</v>
      </c>
    </row>
    <row r="55" spans="1:3" x14ac:dyDescent="0.25">
      <c r="A55" s="14">
        <v>7</v>
      </c>
      <c r="B55" s="14" t="s">
        <v>301</v>
      </c>
      <c r="C55" s="14" t="s">
        <v>69</v>
      </c>
    </row>
    <row r="56" spans="1:3" x14ac:dyDescent="0.25">
      <c r="A56" s="14">
        <v>8</v>
      </c>
      <c r="B56" s="14" t="s">
        <v>200</v>
      </c>
      <c r="C56" s="14" t="s">
        <v>70</v>
      </c>
    </row>
    <row r="57" spans="1:3" x14ac:dyDescent="0.25">
      <c r="A57" s="14">
        <v>9</v>
      </c>
      <c r="B57" s="14" t="s">
        <v>201</v>
      </c>
      <c r="C57" s="14" t="s">
        <v>78</v>
      </c>
    </row>
    <row r="59" spans="1:3" x14ac:dyDescent="0.25">
      <c r="A59" s="15" t="s">
        <v>187</v>
      </c>
      <c r="B59" s="9" t="s">
        <v>89</v>
      </c>
      <c r="C59" s="14" t="s">
        <v>326</v>
      </c>
    </row>
    <row r="60" spans="1:3" x14ac:dyDescent="0.25">
      <c r="A60" s="14">
        <v>0</v>
      </c>
      <c r="B60" s="14" t="s">
        <v>316</v>
      </c>
      <c r="C60" s="14" t="s">
        <v>188</v>
      </c>
    </row>
    <row r="61" spans="1:3" x14ac:dyDescent="0.25">
      <c r="A61" s="14">
        <v>1</v>
      </c>
      <c r="B61" s="14" t="s">
        <v>200</v>
      </c>
      <c r="C61" s="14" t="s">
        <v>70</v>
      </c>
    </row>
    <row r="62" spans="1:3" x14ac:dyDescent="0.25">
      <c r="A62" s="14">
        <v>2</v>
      </c>
      <c r="B62" s="14" t="s">
        <v>208</v>
      </c>
      <c r="C62" s="14" t="s">
        <v>189</v>
      </c>
    </row>
    <row r="63" spans="1:3" x14ac:dyDescent="0.25">
      <c r="A63" s="14">
        <v>3</v>
      </c>
      <c r="B63" s="14" t="s">
        <v>209</v>
      </c>
      <c r="C63" s="14" t="s">
        <v>64</v>
      </c>
    </row>
    <row r="64" spans="1:3" x14ac:dyDescent="0.25">
      <c r="A64" s="14">
        <v>4</v>
      </c>
      <c r="B64" s="14" t="s">
        <v>202</v>
      </c>
      <c r="C64" s="14" t="s">
        <v>190</v>
      </c>
    </row>
    <row r="65" spans="1:4" x14ac:dyDescent="0.25">
      <c r="A65" s="14">
        <v>5</v>
      </c>
      <c r="B65" s="14" t="s">
        <v>203</v>
      </c>
      <c r="C65" s="14" t="s">
        <v>191</v>
      </c>
    </row>
    <row r="66" spans="1:4" x14ac:dyDescent="0.25">
      <c r="A66" s="14">
        <v>6</v>
      </c>
      <c r="B66" s="14" t="s">
        <v>205</v>
      </c>
      <c r="C66" s="14" t="s">
        <v>206</v>
      </c>
    </row>
    <row r="67" spans="1:4" x14ac:dyDescent="0.25">
      <c r="A67" s="14">
        <v>7</v>
      </c>
      <c r="B67" s="14" t="s">
        <v>204</v>
      </c>
      <c r="C67" s="14" t="s">
        <v>192</v>
      </c>
    </row>
    <row r="68" spans="1:4" x14ac:dyDescent="0.25">
      <c r="A68" s="14">
        <v>8</v>
      </c>
      <c r="B68" s="14" t="s">
        <v>199</v>
      </c>
      <c r="C68" s="14" t="s">
        <v>68</v>
      </c>
    </row>
    <row r="69" spans="1:4" x14ac:dyDescent="0.25">
      <c r="A69" s="14">
        <v>9</v>
      </c>
      <c r="B69" s="14" t="s">
        <v>198</v>
      </c>
      <c r="C69" s="14" t="s">
        <v>67</v>
      </c>
    </row>
    <row r="70" spans="1:4" x14ac:dyDescent="0.25">
      <c r="A70" s="14">
        <v>10</v>
      </c>
      <c r="B70" s="14" t="s">
        <v>197</v>
      </c>
      <c r="C70" s="14" t="s">
        <v>207</v>
      </c>
    </row>
    <row r="71" spans="1:4" x14ac:dyDescent="0.25">
      <c r="A71" s="14">
        <v>11</v>
      </c>
      <c r="B71" s="14" t="s">
        <v>318</v>
      </c>
      <c r="C71" s="14" t="s">
        <v>320</v>
      </c>
    </row>
    <row r="72" spans="1:4" x14ac:dyDescent="0.25">
      <c r="A72" s="14">
        <v>12</v>
      </c>
      <c r="B72" s="14" t="s">
        <v>319</v>
      </c>
      <c r="C72" s="14" t="s">
        <v>321</v>
      </c>
    </row>
    <row r="74" spans="1:4" ht="33" x14ac:dyDescent="0.25">
      <c r="A74" s="15" t="s">
        <v>210</v>
      </c>
      <c r="B74" s="9" t="s">
        <v>325</v>
      </c>
    </row>
    <row r="75" spans="1:4" x14ac:dyDescent="0.25">
      <c r="A75" s="14">
        <v>0</v>
      </c>
      <c r="B75" s="14" t="s">
        <v>211</v>
      </c>
      <c r="C75" s="14" t="s">
        <v>256</v>
      </c>
    </row>
    <row r="76" spans="1:4" x14ac:dyDescent="0.25">
      <c r="A76" s="14">
        <v>1</v>
      </c>
      <c r="B76" s="14" t="s">
        <v>255</v>
      </c>
      <c r="C76" s="14" t="s">
        <v>257</v>
      </c>
    </row>
    <row r="77" spans="1:4" x14ac:dyDescent="0.25">
      <c r="A77" s="14">
        <v>2</v>
      </c>
      <c r="B77" s="14" t="s">
        <v>212</v>
      </c>
      <c r="C77" s="14" t="s">
        <v>258</v>
      </c>
      <c r="D77" s="16"/>
    </row>
    <row r="78" spans="1:4" x14ac:dyDescent="0.25">
      <c r="A78" s="14">
        <v>3</v>
      </c>
      <c r="B78" s="14" t="s">
        <v>213</v>
      </c>
      <c r="C78" s="14" t="s">
        <v>124</v>
      </c>
    </row>
    <row r="79" spans="1:4" x14ac:dyDescent="0.25">
      <c r="A79" s="14">
        <v>4</v>
      </c>
      <c r="B79" s="14" t="s">
        <v>214</v>
      </c>
      <c r="C79" s="14" t="s">
        <v>259</v>
      </c>
    </row>
    <row r="80" spans="1:4" x14ac:dyDescent="0.25">
      <c r="A80" s="14">
        <v>5</v>
      </c>
      <c r="B80" s="14" t="s">
        <v>215</v>
      </c>
      <c r="C80" s="14" t="s">
        <v>260</v>
      </c>
    </row>
    <row r="81" spans="1:3" x14ac:dyDescent="0.25">
      <c r="A81" s="14">
        <v>6</v>
      </c>
      <c r="B81" s="14" t="s">
        <v>216</v>
      </c>
      <c r="C81" s="14" t="s">
        <v>261</v>
      </c>
    </row>
    <row r="82" spans="1:3" x14ac:dyDescent="0.25">
      <c r="A82" s="14">
        <v>7</v>
      </c>
      <c r="B82" s="14" t="s">
        <v>217</v>
      </c>
      <c r="C82" s="14" t="s">
        <v>262</v>
      </c>
    </row>
    <row r="83" spans="1:3" x14ac:dyDescent="0.25">
      <c r="A83" s="14">
        <v>8</v>
      </c>
      <c r="B83" s="14" t="s">
        <v>218</v>
      </c>
      <c r="C83" s="14" t="s">
        <v>263</v>
      </c>
    </row>
    <row r="84" spans="1:3" x14ac:dyDescent="0.25">
      <c r="A84" s="14">
        <v>9</v>
      </c>
      <c r="B84" s="14" t="s">
        <v>219</v>
      </c>
      <c r="C84" s="14" t="s">
        <v>264</v>
      </c>
    </row>
    <row r="85" spans="1:3" x14ac:dyDescent="0.25">
      <c r="A85" s="14">
        <v>10</v>
      </c>
      <c r="B85" s="14" t="s">
        <v>220</v>
      </c>
      <c r="C85" s="14" t="s">
        <v>265</v>
      </c>
    </row>
    <row r="86" spans="1:3" x14ac:dyDescent="0.25">
      <c r="A86" s="14">
        <v>11</v>
      </c>
      <c r="B86" s="14" t="s">
        <v>221</v>
      </c>
      <c r="C86" s="14" t="s">
        <v>266</v>
      </c>
    </row>
    <row r="87" spans="1:3" x14ac:dyDescent="0.25">
      <c r="A87" s="14">
        <v>12</v>
      </c>
      <c r="B87" s="14" t="s">
        <v>222</v>
      </c>
      <c r="C87" s="14" t="s">
        <v>268</v>
      </c>
    </row>
    <row r="88" spans="1:3" x14ac:dyDescent="0.25">
      <c r="A88" s="14">
        <v>13</v>
      </c>
      <c r="B88" s="14" t="s">
        <v>223</v>
      </c>
      <c r="C88" s="14" t="s">
        <v>269</v>
      </c>
    </row>
    <row r="89" spans="1:3" x14ac:dyDescent="0.25">
      <c r="A89" s="14">
        <v>14</v>
      </c>
      <c r="B89" s="14" t="s">
        <v>224</v>
      </c>
      <c r="C89" s="14" t="s">
        <v>270</v>
      </c>
    </row>
    <row r="90" spans="1:3" x14ac:dyDescent="0.25">
      <c r="A90" s="14">
        <v>15</v>
      </c>
      <c r="B90" s="14" t="s">
        <v>225</v>
      </c>
      <c r="C90" s="14" t="s">
        <v>271</v>
      </c>
    </row>
    <row r="91" spans="1:3" x14ac:dyDescent="0.25">
      <c r="A91" s="14">
        <v>16</v>
      </c>
      <c r="B91" s="14" t="s">
        <v>227</v>
      </c>
      <c r="C91" s="14" t="s">
        <v>272</v>
      </c>
    </row>
    <row r="92" spans="1:3" x14ac:dyDescent="0.25">
      <c r="A92" s="14">
        <v>17</v>
      </c>
      <c r="B92" s="14" t="s">
        <v>228</v>
      </c>
      <c r="C92" s="14" t="s">
        <v>273</v>
      </c>
    </row>
    <row r="93" spans="1:3" x14ac:dyDescent="0.25">
      <c r="A93" s="14">
        <v>18</v>
      </c>
      <c r="B93" s="14" t="s">
        <v>229</v>
      </c>
      <c r="C93" s="14" t="s">
        <v>274</v>
      </c>
    </row>
    <row r="94" spans="1:3" x14ac:dyDescent="0.25">
      <c r="A94" s="14">
        <v>19</v>
      </c>
      <c r="B94" s="14" t="s">
        <v>230</v>
      </c>
      <c r="C94" s="14" t="s">
        <v>275</v>
      </c>
    </row>
    <row r="95" spans="1:3" x14ac:dyDescent="0.25">
      <c r="A95" s="14">
        <v>20</v>
      </c>
      <c r="B95" s="14" t="s">
        <v>231</v>
      </c>
      <c r="C95" s="14" t="s">
        <v>276</v>
      </c>
    </row>
    <row r="96" spans="1:3" x14ac:dyDescent="0.25">
      <c r="A96" s="14">
        <v>21</v>
      </c>
      <c r="B96" s="14" t="s">
        <v>232</v>
      </c>
      <c r="C96" s="14" t="s">
        <v>277</v>
      </c>
    </row>
    <row r="97" spans="1:3" x14ac:dyDescent="0.25">
      <c r="A97" s="14">
        <v>22</v>
      </c>
      <c r="B97" s="14" t="s">
        <v>233</v>
      </c>
      <c r="C97" s="14" t="s">
        <v>278</v>
      </c>
    </row>
    <row r="98" spans="1:3" x14ac:dyDescent="0.25">
      <c r="A98" s="14">
        <v>23</v>
      </c>
      <c r="B98" s="14" t="s">
        <v>234</v>
      </c>
      <c r="C98" s="14" t="s">
        <v>279</v>
      </c>
    </row>
    <row r="99" spans="1:3" x14ac:dyDescent="0.25">
      <c r="A99" s="14">
        <v>24</v>
      </c>
      <c r="B99" s="14" t="s">
        <v>235</v>
      </c>
      <c r="C99" s="14" t="s">
        <v>280</v>
      </c>
    </row>
    <row r="100" spans="1:3" x14ac:dyDescent="0.25">
      <c r="A100" s="14">
        <v>25</v>
      </c>
      <c r="B100" s="14" t="s">
        <v>236</v>
      </c>
      <c r="C100" s="14" t="s">
        <v>281</v>
      </c>
    </row>
    <row r="101" spans="1:3" x14ac:dyDescent="0.25">
      <c r="A101" s="14">
        <v>26</v>
      </c>
      <c r="B101" s="14" t="s">
        <v>237</v>
      </c>
      <c r="C101" s="14" t="s">
        <v>282</v>
      </c>
    </row>
    <row r="102" spans="1:3" x14ac:dyDescent="0.25">
      <c r="A102" s="14">
        <v>27</v>
      </c>
      <c r="B102" s="14" t="s">
        <v>238</v>
      </c>
      <c r="C102" s="14" t="s">
        <v>283</v>
      </c>
    </row>
    <row r="103" spans="1:3" x14ac:dyDescent="0.25">
      <c r="A103" s="14">
        <v>28</v>
      </c>
      <c r="B103" s="14" t="s">
        <v>239</v>
      </c>
      <c r="C103" s="14" t="s">
        <v>284</v>
      </c>
    </row>
    <row r="104" spans="1:3" x14ac:dyDescent="0.25">
      <c r="A104" s="14">
        <v>29</v>
      </c>
      <c r="B104" s="14" t="s">
        <v>240</v>
      </c>
      <c r="C104" s="14" t="s">
        <v>285</v>
      </c>
    </row>
    <row r="105" spans="1:3" x14ac:dyDescent="0.25">
      <c r="A105" s="14">
        <v>30</v>
      </c>
      <c r="B105" s="14" t="s">
        <v>241</v>
      </c>
      <c r="C105" s="14" t="s">
        <v>286</v>
      </c>
    </row>
    <row r="106" spans="1:3" x14ac:dyDescent="0.25">
      <c r="A106" s="14">
        <v>31</v>
      </c>
      <c r="B106" s="14" t="s">
        <v>242</v>
      </c>
      <c r="C106" s="14" t="s">
        <v>287</v>
      </c>
    </row>
    <row r="107" spans="1:3" x14ac:dyDescent="0.25">
      <c r="A107" s="14">
        <v>32</v>
      </c>
      <c r="B107" s="14" t="s">
        <v>243</v>
      </c>
      <c r="C107" s="14" t="s">
        <v>288</v>
      </c>
    </row>
    <row r="108" spans="1:3" x14ac:dyDescent="0.25">
      <c r="A108" s="14">
        <v>33</v>
      </c>
      <c r="B108" s="14" t="s">
        <v>244</v>
      </c>
      <c r="C108" s="14" t="s">
        <v>289</v>
      </c>
    </row>
    <row r="109" spans="1:3" x14ac:dyDescent="0.25">
      <c r="A109" s="14">
        <v>34</v>
      </c>
      <c r="B109" s="14" t="s">
        <v>245</v>
      </c>
      <c r="C109" s="14" t="s">
        <v>290</v>
      </c>
    </row>
    <row r="110" spans="1:3" x14ac:dyDescent="0.25">
      <c r="A110" s="14">
        <v>35</v>
      </c>
      <c r="B110" s="14" t="s">
        <v>246</v>
      </c>
      <c r="C110" s="14" t="s">
        <v>291</v>
      </c>
    </row>
    <row r="111" spans="1:3" x14ac:dyDescent="0.25">
      <c r="A111" s="14">
        <v>36</v>
      </c>
      <c r="B111" s="14" t="s">
        <v>247</v>
      </c>
      <c r="C111" s="14" t="s">
        <v>292</v>
      </c>
    </row>
    <row r="112" spans="1:3" x14ac:dyDescent="0.25">
      <c r="A112" s="14">
        <v>37</v>
      </c>
      <c r="B112" s="14" t="s">
        <v>248</v>
      </c>
      <c r="C112" s="14" t="s">
        <v>293</v>
      </c>
    </row>
    <row r="113" spans="1:3" x14ac:dyDescent="0.25">
      <c r="A113" s="14">
        <v>38</v>
      </c>
      <c r="B113" s="14" t="s">
        <v>249</v>
      </c>
      <c r="C113" s="14" t="s">
        <v>294</v>
      </c>
    </row>
    <row r="114" spans="1:3" x14ac:dyDescent="0.25">
      <c r="A114" s="14">
        <v>39</v>
      </c>
      <c r="B114" s="14" t="s">
        <v>250</v>
      </c>
      <c r="C114" s="14" t="s">
        <v>295</v>
      </c>
    </row>
    <row r="115" spans="1:3" x14ac:dyDescent="0.25">
      <c r="A115" s="14">
        <v>40</v>
      </c>
      <c r="B115" s="14" t="s">
        <v>251</v>
      </c>
      <c r="C115" s="14" t="s">
        <v>296</v>
      </c>
    </row>
    <row r="116" spans="1:3" x14ac:dyDescent="0.25">
      <c r="A116" s="14">
        <v>41</v>
      </c>
      <c r="B116" s="14" t="s">
        <v>252</v>
      </c>
      <c r="C116" s="14" t="s">
        <v>297</v>
      </c>
    </row>
    <row r="117" spans="1:3" x14ac:dyDescent="0.25">
      <c r="A117" s="14">
        <v>42</v>
      </c>
      <c r="B117" s="14" t="s">
        <v>253</v>
      </c>
      <c r="C117" s="14" t="s">
        <v>298</v>
      </c>
    </row>
    <row r="118" spans="1:3" x14ac:dyDescent="0.25">
      <c r="A118" s="14">
        <v>43</v>
      </c>
      <c r="B118" s="14" t="s">
        <v>254</v>
      </c>
      <c r="C118" s="14" t="s">
        <v>299</v>
      </c>
    </row>
    <row r="119" spans="1:3" x14ac:dyDescent="0.25">
      <c r="A119" s="14">
        <v>44</v>
      </c>
      <c r="B119" s="14" t="s">
        <v>226</v>
      </c>
      <c r="C119" s="14" t="s">
        <v>267</v>
      </c>
    </row>
    <row r="121" spans="1:3" ht="33" x14ac:dyDescent="0.25">
      <c r="A121" s="15" t="s">
        <v>91</v>
      </c>
      <c r="B121" s="8" t="s">
        <v>176</v>
      </c>
    </row>
    <row r="122" spans="1:3" x14ac:dyDescent="0.25">
      <c r="A122" s="14">
        <v>0</v>
      </c>
      <c r="B122" s="14" t="s">
        <v>48</v>
      </c>
      <c r="C122" s="14" t="s">
        <v>94</v>
      </c>
    </row>
    <row r="123" spans="1:3" x14ac:dyDescent="0.25">
      <c r="A123" s="14">
        <v>1</v>
      </c>
      <c r="B123" s="14" t="s">
        <v>86</v>
      </c>
      <c r="C123" s="14" t="s">
        <v>95</v>
      </c>
    </row>
    <row r="124" spans="1:3" x14ac:dyDescent="0.25">
      <c r="A124" s="14">
        <v>2</v>
      </c>
      <c r="B124" s="14" t="s">
        <v>93</v>
      </c>
      <c r="C124" s="14" t="s">
        <v>96</v>
      </c>
    </row>
    <row r="126" spans="1:3" ht="33" x14ac:dyDescent="0.25">
      <c r="A126" s="15" t="s">
        <v>120</v>
      </c>
      <c r="B126" s="8" t="s">
        <v>168</v>
      </c>
    </row>
    <row r="127" spans="1:3" x14ac:dyDescent="0.25">
      <c r="A127" s="14">
        <v>0</v>
      </c>
      <c r="B127" s="14" t="str">
        <f>ContentPartRemove(GetValueByAddress(GetAddressByFlag("condition",1),$A127), "Cond_")</f>
        <v>GameType</v>
      </c>
      <c r="C127" s="14" t="s">
        <v>112</v>
      </c>
    </row>
    <row r="128" spans="1:3" x14ac:dyDescent="0.25">
      <c r="A128" s="14">
        <v>1</v>
      </c>
      <c r="B128" s="14" t="str">
        <f>ContentPartRemove(GetValueByAddress(GetAddressByFlag("condition",1),$A128), "Cond_")</f>
        <v>HallType</v>
      </c>
      <c r="C128" s="14" t="s">
        <v>113</v>
      </c>
    </row>
    <row r="129" spans="1:3" x14ac:dyDescent="0.25">
      <c r="A129" s="14">
        <v>2</v>
      </c>
      <c r="B129" s="14" t="str">
        <f>ContentPartRemove(GetValueByAddress(GetAddressByFlag("condition",1),$A129), "Cond_")</f>
        <v>WinType</v>
      </c>
      <c r="C129" s="14" t="s">
        <v>114</v>
      </c>
    </row>
    <row r="130" spans="1:3" x14ac:dyDescent="0.25">
      <c r="A130" s="14">
        <v>3</v>
      </c>
      <c r="B130" s="14" t="str">
        <f>ContentPartRemove(GetValueByAddress(GetAddressByFlag("condition",1),$A130), "Cond_")</f>
        <v>Item</v>
      </c>
      <c r="C130" s="14" t="s">
        <v>115</v>
      </c>
    </row>
    <row r="131" spans="1:3" x14ac:dyDescent="0.25">
      <c r="A131" s="14">
        <v>4</v>
      </c>
      <c r="B131" s="14" t="str">
        <f>ContentPartRemove(GetValueByAddress(GetAddressByFlag("condition",1),$A131), "Cond_")</f>
        <v>Chip</v>
      </c>
      <c r="C131" s="14" t="s">
        <v>116</v>
      </c>
    </row>
    <row r="132" spans="1:3" x14ac:dyDescent="0.25">
      <c r="A132" s="14">
        <v>5</v>
      </c>
      <c r="B132" s="14" t="str">
        <f>ContentPartRemove(GetValueByAddress(GetAddressByFlag("condition",1),$A132), "Cond_")</f>
        <v>Gem</v>
      </c>
      <c r="C132" s="14" t="s">
        <v>117</v>
      </c>
    </row>
    <row r="133" spans="1:3" x14ac:dyDescent="0.25">
      <c r="A133" s="14">
        <v>6</v>
      </c>
      <c r="B133" s="14" t="str">
        <f>ContentPartRemove(GetValueByAddress(GetAddressByFlag("condition",1),$A133), "Cond_")</f>
        <v>Other</v>
      </c>
      <c r="C133" s="14" t="s">
        <v>118</v>
      </c>
    </row>
    <row r="135" spans="1:3" x14ac:dyDescent="0.25">
      <c r="A135" s="15" t="s">
        <v>121</v>
      </c>
      <c r="B135" s="14" t="s">
        <v>312</v>
      </c>
      <c r="C135" s="14" t="s">
        <v>303</v>
      </c>
    </row>
    <row r="136" spans="1:3" x14ac:dyDescent="0.25">
      <c r="A136" s="14">
        <v>0</v>
      </c>
      <c r="B136" s="14" t="s">
        <v>16</v>
      </c>
      <c r="C136" s="14" t="s">
        <v>122</v>
      </c>
    </row>
    <row r="137" spans="1:3" x14ac:dyDescent="0.25">
      <c r="A137" s="14">
        <v>1</v>
      </c>
      <c r="B137" s="14" t="s">
        <v>35</v>
      </c>
      <c r="C137" s="14" t="s">
        <v>161</v>
      </c>
    </row>
    <row r="138" spans="1:3" x14ac:dyDescent="0.25">
      <c r="A138" s="14">
        <v>2</v>
      </c>
      <c r="B138" s="14" t="s">
        <v>36</v>
      </c>
      <c r="C138" s="14" t="s">
        <v>123</v>
      </c>
    </row>
    <row r="139" spans="1:3" x14ac:dyDescent="0.25">
      <c r="A139" s="14">
        <v>3</v>
      </c>
      <c r="B139" s="14" t="s">
        <v>37</v>
      </c>
      <c r="C139" s="14" t="s">
        <v>127</v>
      </c>
    </row>
    <row r="140" spans="1:3" x14ac:dyDescent="0.25">
      <c r="A140" s="14">
        <v>4</v>
      </c>
      <c r="B140" s="14" t="s">
        <v>38</v>
      </c>
      <c r="C140" s="14" t="s">
        <v>126</v>
      </c>
    </row>
    <row r="141" spans="1:3" x14ac:dyDescent="0.25">
      <c r="A141" s="14">
        <v>5</v>
      </c>
      <c r="B141" s="14" t="s">
        <v>39</v>
      </c>
      <c r="C141" s="14" t="s">
        <v>125</v>
      </c>
    </row>
    <row r="142" spans="1:3" x14ac:dyDescent="0.25">
      <c r="A142" s="14">
        <v>6</v>
      </c>
      <c r="B142" s="14" t="s">
        <v>83</v>
      </c>
      <c r="C142" s="14" t="s">
        <v>124</v>
      </c>
    </row>
    <row r="144" spans="1:3" x14ac:dyDescent="0.25">
      <c r="A144" s="15" t="s">
        <v>131</v>
      </c>
      <c r="B144" s="14" t="s">
        <v>166</v>
      </c>
      <c r="C144" s="14" t="s">
        <v>174</v>
      </c>
    </row>
    <row r="145" spans="1:3" x14ac:dyDescent="0.25">
      <c r="A145" s="14">
        <v>0</v>
      </c>
      <c r="B145" s="14" t="s">
        <v>132</v>
      </c>
      <c r="C145" s="14" t="s">
        <v>169</v>
      </c>
    </row>
    <row r="146" spans="1:3" x14ac:dyDescent="0.25">
      <c r="A146" s="14">
        <v>1</v>
      </c>
      <c r="B146" s="14" t="s">
        <v>133</v>
      </c>
      <c r="C146" s="14" t="s">
        <v>162</v>
      </c>
    </row>
    <row r="147" spans="1:3" x14ac:dyDescent="0.25">
      <c r="A147" s="14">
        <v>2</v>
      </c>
      <c r="B147" s="14" t="s">
        <v>134</v>
      </c>
      <c r="C147" s="14" t="s">
        <v>163</v>
      </c>
    </row>
    <row r="148" spans="1:3" x14ac:dyDescent="0.25">
      <c r="A148" s="14">
        <v>3</v>
      </c>
      <c r="B148" s="14" t="s">
        <v>135</v>
      </c>
      <c r="C148" s="14" t="s">
        <v>164</v>
      </c>
    </row>
    <row r="149" spans="1:3" x14ac:dyDescent="0.25">
      <c r="A149" s="14">
        <v>4</v>
      </c>
      <c r="B149" s="14" t="s">
        <v>136</v>
      </c>
      <c r="C149" s="14" t="s">
        <v>165</v>
      </c>
    </row>
  </sheetData>
  <phoneticPr fontId="1" type="noConversion"/>
  <dataValidations disablePrompts="1" count="1">
    <dataValidation type="list" allowBlank="1" showInputMessage="1" showErrorMessage="1" sqref="B23:B24" xr:uid="{B0CB2171-414B-4CBE-8D3A-4259279457CD}">
      <formula1>"ON, OFF"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27</vt:i4>
      </vt:variant>
    </vt:vector>
  </HeadingPairs>
  <TitlesOfParts>
    <vt:vector size="30" baseType="lpstr">
      <vt:lpstr>notification_condition</vt:lpstr>
      <vt:lpstr>_企劃用</vt:lpstr>
      <vt:lpstr>_Setting</vt:lpstr>
      <vt:lpstr>cell_classAttributeListStart</vt:lpstr>
      <vt:lpstr>cell_itemFlagStart</vt:lpstr>
      <vt:lpstr>cell_tableStart</vt:lpstr>
      <vt:lpstr>cell_usingDataListStart</vt:lpstr>
      <vt:lpstr>param_autoEnumKeyWord</vt:lpstr>
      <vt:lpstr>param_conditionAutoInitializeSwitch</vt:lpstr>
      <vt:lpstr>param_conditionFileName</vt:lpstr>
      <vt:lpstr>param_conditionParentClassName</vt:lpstr>
      <vt:lpstr>param_conditionValuePanelSwitch</vt:lpstr>
      <vt:lpstr>param_dropdownChineseSuffix</vt:lpstr>
      <vt:lpstr>param_dropdownEnglishSuffix</vt:lpstr>
      <vt:lpstr>param_dropdownItemsSearchKey</vt:lpstr>
      <vt:lpstr>param_enumClassModify</vt:lpstr>
      <vt:lpstr>param_enumClassName</vt:lpstr>
      <vt:lpstr>param_enumFileName</vt:lpstr>
      <vt:lpstr>param_enumInheritance</vt:lpstr>
      <vt:lpstr>param_nameSpaceName</vt:lpstr>
      <vt:lpstr>param_resultFileName</vt:lpstr>
      <vt:lpstr>param_resultParentClassName</vt:lpstr>
      <vt:lpstr>param_valuePanelSearchKey</vt:lpstr>
      <vt:lpstr>range_blockParamGroup</vt:lpstr>
      <vt:lpstr>range_formatParamGroup</vt:lpstr>
      <vt:lpstr>range_itemList</vt:lpstr>
      <vt:lpstr>range_messageFormat</vt:lpstr>
      <vt:lpstr>range_pushsParamGroup</vt:lpstr>
      <vt:lpstr>range_refreshArea_project</vt:lpstr>
      <vt:lpstr>range_refreshArea_setting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Litho Shu</dc:creator>
  <cp:lastModifiedBy>Litho Shu</cp:lastModifiedBy>
  <dcterms:created xsi:type="dcterms:W3CDTF">2021-03-31T08:52:46Z</dcterms:created>
  <dcterms:modified xsi:type="dcterms:W3CDTF">2021-05-03T10:37:03Z</dcterms:modified>
</cp:coreProperties>
</file>